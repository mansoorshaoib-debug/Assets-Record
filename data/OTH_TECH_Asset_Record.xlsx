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reens" sheetId="2" state="visible" r:id="rId4"/>
    <sheet name="Mobiles" sheetId="3" state="visible" r:id="rId5"/>
    <sheet name="Laptops" sheetId="4" state="visible" r:id="rId6"/>
    <sheet name="Mac Mini" sheetId="5" state="visible" r:id="rId7"/>
    <sheet name="CPU" sheetId="6" state="visible" r:id="rId8"/>
    <sheet name="Cables" sheetId="7" state="visible" r:id="rId9"/>
    <sheet name="Connectors" sheetId="8" state="visible" r:id="rId10"/>
    <sheet name="Laptop Stands" sheetId="9" state="visible" r:id="rId11"/>
    <sheet name="Mobile Stands" sheetId="10" state="visible" r:id="rId12"/>
    <sheet name="Keyboard &amp; Mouse" sheetId="11" state="visible" r:id="rId13"/>
    <sheet name="Chargers" sheetId="12" state="visible" r:id="rId14"/>
    <sheet name="Printers" sheetId="13" state="visible" r:id="rId15"/>
    <sheet name="Purchases" sheetId="14" state="visible" r:id="rId16"/>
    <sheet name="Summary" sheetId="15" state="visible" r:id="rId17"/>
  </sheets>
  <definedNames>
    <definedName function="false" hidden="true" localSheetId="6" name="_xlnm._FilterDatabase" vbProcedure="false">Cables!$A$1:$K$15</definedName>
    <definedName function="false" hidden="true" localSheetId="11" name="_xlnm._FilterDatabase" vbProcedure="false">Chargers!$A$1:$K$11</definedName>
    <definedName function="false" hidden="true" localSheetId="7" name="_xlnm._FilterDatabase" vbProcedure="false">Connectors!$A$1:$K$17</definedName>
    <definedName function="false" hidden="true" localSheetId="5" name="_xlnm._FilterDatabase" vbProcedure="false">CPU!$A$1:$K$10</definedName>
    <definedName function="false" hidden="true" localSheetId="10" name="_xlnm._FilterDatabase" vbProcedure="false">'Keyboard &amp; Mouse'!$A$1:$K$10</definedName>
    <definedName function="false" hidden="true" localSheetId="8" name="_xlnm._FilterDatabase" vbProcedure="false">'Laptop Stands'!$A$1:$K$7</definedName>
    <definedName function="false" hidden="true" localSheetId="3" name="_xlnm._FilterDatabase" vbProcedure="false">Laptops!$A$1:$K$15</definedName>
    <definedName function="false" hidden="true" localSheetId="4" name="_xlnm._FilterDatabase" vbProcedure="false">'Mac Mini'!$A$1:$K$7</definedName>
    <definedName function="false" hidden="true" localSheetId="9" name="_xlnm._FilterDatabase" vbProcedure="false">'Mobile Stands'!$A$1:$K$6</definedName>
    <definedName function="false" hidden="true" localSheetId="2" name="_xlnm._FilterDatabase" vbProcedure="false">Mobiles!$A$1:$K$13</definedName>
    <definedName function="false" hidden="true" localSheetId="12" name="_xlnm._FilterDatabase" vbProcedure="false">Printers!$A$1:$K$5</definedName>
    <definedName function="false" hidden="true" localSheetId="13" name="_xlnm._FilterDatabase" vbProcedure="false">Purchases!$A$1:$K$17</definedName>
    <definedName function="false" hidden="true" localSheetId="1" name="_xlnm._FilterDatabase" vbProcedure="false">Screens!$A$1:$K$17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<sst xmlns="http://schemas.openxmlformats.org/spreadsheetml/2006/main" count="1129" uniqueCount="355">
  <si>
    <t xml:space="preserve">OTH TECH Asset Record: sheet kaise use karni hai</t>
  </si>
  <si>
    <t xml:space="preserve">1. Har tab (Screens, Mobiles, Cables ...) web page par ek folder banta hai. Naya folder chahiye to naya tab banayein aur tab ka naam folder ka naam hoga.</t>
  </si>
  <si>
    <t xml:space="preserve">2. Har folder tab mein row 1 ke headers wohi rakhein: Asset ID, Item, Brand, Model, Serial No, Qty, Status, Assigned To, Location, Purchase Date, Remarks.</t>
  </si>
  <si>
    <t xml:space="preserve">3. Status sirf dropdown se chunein: In Use, In Stock, Damaged, Broken.</t>
  </si>
  <si>
    <t xml:space="preserve">4. Mobile, screen, laptop jaisi cheezon ki har ek ki alag row, Qty = 1.</t>
  </si>
  <si>
    <t xml:space="preserve">5. Cables, connectors, stands jaisi cheezon ke liye status ke hisaab se rows: jaise Type-C Cable, Qty 20, In Use; phir Type-C Cable, Qty 6, In Stock; phir Qty 2, Damaged.</t>
  </si>
  <si>
    <t xml:space="preserve">6. Purchases tab mein jab bhi kuch khareedein nayi row add karein. Total (PKR) khud banta hai.</t>
  </si>
  <si>
    <t xml:space="preserve">7. Tab jinka naam Summary ya Read Me ho, ya jo _ se shuru ho, web page par nahi dikhte.</t>
  </si>
  <si>
    <t xml:space="preserve">8. Sheet mein badlav karne ke baad web page 1 minute ke andar khud update ho jata hai (ya Refresh dabayein).</t>
  </si>
  <si>
    <t xml:space="preserve">Note: Maujooda saara data random SAMPLE data hai. Apna asal data daalne se pehle sample rows delete kar dein.</t>
  </si>
  <si>
    <t xml:space="preserve">Asset ID</t>
  </si>
  <si>
    <t xml:space="preserve">Item</t>
  </si>
  <si>
    <t xml:space="preserve">Brand</t>
  </si>
  <si>
    <t xml:space="preserve">Model</t>
  </si>
  <si>
    <t xml:space="preserve">Serial No</t>
  </si>
  <si>
    <t xml:space="preserve">Qty</t>
  </si>
  <si>
    <t xml:space="preserve">Status</t>
  </si>
  <si>
    <t xml:space="preserve">Assigned To</t>
  </si>
  <si>
    <t xml:space="preserve">Location</t>
  </si>
  <si>
    <t xml:space="preserve">Purchase Date</t>
  </si>
  <si>
    <t xml:space="preserve">Remarks</t>
  </si>
  <si>
    <t xml:space="preserve">SCR-001</t>
  </si>
  <si>
    <t xml:space="preserve">LED Monitor</t>
  </si>
  <si>
    <t xml:space="preserve">HP</t>
  </si>
  <si>
    <t xml:space="preserve">M24f</t>
  </si>
  <si>
    <t xml:space="preserve">HP97366946</t>
  </si>
  <si>
    <t xml:space="preserve">Broken</t>
  </si>
  <si>
    <t xml:space="preserve">Store Room</t>
  </si>
  <si>
    <t xml:space="preserve">Cable cut near joint</t>
  </si>
  <si>
    <t xml:space="preserve">SCR-002</t>
  </si>
  <si>
    <t xml:space="preserve">Dell</t>
  </si>
  <si>
    <t xml:space="preserve">P2422H</t>
  </si>
  <si>
    <t xml:space="preserve">DEL22633920</t>
  </si>
  <si>
    <t xml:space="preserve">In Stock</t>
  </si>
  <si>
    <t xml:space="preserve">SCR-003</t>
  </si>
  <si>
    <t xml:space="preserve">AOC</t>
  </si>
  <si>
    <t xml:space="preserve">24B1H</t>
  </si>
  <si>
    <t xml:space="preserve">AOC15032582</t>
  </si>
  <si>
    <t xml:space="preserve">In Use</t>
  </si>
  <si>
    <t xml:space="preserve">Hassan Iqbal</t>
  </si>
  <si>
    <t xml:space="preserve">Floor 1</t>
  </si>
  <si>
    <t xml:space="preserve">SCR-004</t>
  </si>
  <si>
    <t xml:space="preserve">Samsung</t>
  </si>
  <si>
    <t xml:space="preserve">S24R350</t>
  </si>
  <si>
    <t xml:space="preserve">SAM83960310</t>
  </si>
  <si>
    <t xml:space="preserve">Hamza Ali</t>
  </si>
  <si>
    <t xml:space="preserve">Main Office</t>
  </si>
  <si>
    <t xml:space="preserve">SCR-005</t>
  </si>
  <si>
    <t xml:space="preserve">DEL26616417</t>
  </si>
  <si>
    <t xml:space="preserve">SCR-006</t>
  </si>
  <si>
    <t xml:space="preserve">LG</t>
  </si>
  <si>
    <t xml:space="preserve">24MK600</t>
  </si>
  <si>
    <t xml:space="preserve">LG87457446</t>
  </si>
  <si>
    <t xml:space="preserve">Maryam Javed</t>
  </si>
  <si>
    <t xml:space="preserve">SCR-007</t>
  </si>
  <si>
    <t xml:space="preserve">SAM84714297</t>
  </si>
  <si>
    <t xml:space="preserve">SCR-008</t>
  </si>
  <si>
    <t xml:space="preserve">LG25809806</t>
  </si>
  <si>
    <t xml:space="preserve">Sana Malik</t>
  </si>
  <si>
    <t xml:space="preserve">Reception</t>
  </si>
  <si>
    <t xml:space="preserve">SCR-009</t>
  </si>
  <si>
    <t xml:space="preserve">HP23831903</t>
  </si>
  <si>
    <t xml:space="preserve">Imran Sheikh</t>
  </si>
  <si>
    <t xml:space="preserve">SCR-010</t>
  </si>
  <si>
    <t xml:space="preserve">AOC83517017</t>
  </si>
  <si>
    <t xml:space="preserve">Usman Tariq</t>
  </si>
  <si>
    <t xml:space="preserve">SCR-011</t>
  </si>
  <si>
    <t xml:space="preserve">DEL76627625</t>
  </si>
  <si>
    <t xml:space="preserve">SCR-012</t>
  </si>
  <si>
    <t xml:space="preserve">AOC88592782</t>
  </si>
  <si>
    <t xml:space="preserve">Meeting Room</t>
  </si>
  <si>
    <t xml:space="preserve">SCR-013</t>
  </si>
  <si>
    <t xml:space="preserve">SAM42762079</t>
  </si>
  <si>
    <t xml:space="preserve">SCR-014</t>
  </si>
  <si>
    <t xml:space="preserve">AOC70241505</t>
  </si>
  <si>
    <t xml:space="preserve">Zain Abbas</t>
  </si>
  <si>
    <t xml:space="preserve">Floor 2</t>
  </si>
  <si>
    <t xml:space="preserve">SCR-015</t>
  </si>
  <si>
    <t xml:space="preserve">AOC78710461</t>
  </si>
  <si>
    <t xml:space="preserve">Not powering on</t>
  </si>
  <si>
    <t xml:space="preserve">SCR-016</t>
  </si>
  <si>
    <t xml:space="preserve">LG30399018</t>
  </si>
  <si>
    <t xml:space="preserve">MOB-001</t>
  </si>
  <si>
    <t xml:space="preserve">Mobile Phone</t>
  </si>
  <si>
    <t xml:space="preserve">Infinix</t>
  </si>
  <si>
    <t xml:space="preserve">Note 30</t>
  </si>
  <si>
    <t xml:space="preserve">INF84903659</t>
  </si>
  <si>
    <t xml:space="preserve">MOB-002</t>
  </si>
  <si>
    <t xml:space="preserve">Xiaomi</t>
  </si>
  <si>
    <t xml:space="preserve">Redmi Note 12</t>
  </si>
  <si>
    <t xml:space="preserve">XIA76662562</t>
  </si>
  <si>
    <t xml:space="preserve">MOB-003</t>
  </si>
  <si>
    <t xml:space="preserve">INF73632401</t>
  </si>
  <si>
    <t xml:space="preserve">Bilal Khan</t>
  </si>
  <si>
    <t xml:space="preserve">MOB-004</t>
  </si>
  <si>
    <t xml:space="preserve">Galaxy A34</t>
  </si>
  <si>
    <t xml:space="preserve">SAM96856164</t>
  </si>
  <si>
    <t xml:space="preserve">Hira Aslam</t>
  </si>
  <si>
    <t xml:space="preserve">MOB-005</t>
  </si>
  <si>
    <t xml:space="preserve">INF13028344</t>
  </si>
  <si>
    <t xml:space="preserve">Fatima Noor</t>
  </si>
  <si>
    <t xml:space="preserve">MOB-006</t>
  </si>
  <si>
    <t xml:space="preserve">INF76262352</t>
  </si>
  <si>
    <t xml:space="preserve">MOB-007</t>
  </si>
  <si>
    <t xml:space="preserve">Apple</t>
  </si>
  <si>
    <t xml:space="preserve">iPhone 12</t>
  </si>
  <si>
    <t xml:space="preserve">APP27359750</t>
  </si>
  <si>
    <t xml:space="preserve">MOB-008</t>
  </si>
  <si>
    <t xml:space="preserve">APP32329304</t>
  </si>
  <si>
    <t xml:space="preserve">MOB-009</t>
  </si>
  <si>
    <t xml:space="preserve">INF83849218</t>
  </si>
  <si>
    <t xml:space="preserve">MOB-010</t>
  </si>
  <si>
    <t xml:space="preserve">INF40970943</t>
  </si>
  <si>
    <t xml:space="preserve">MOB-011</t>
  </si>
  <si>
    <t xml:space="preserve">SAM11619076</t>
  </si>
  <si>
    <t xml:space="preserve">MOB-012</t>
  </si>
  <si>
    <t xml:space="preserve">APP66230047</t>
  </si>
  <si>
    <t xml:space="preserve">Ahmed Raza</t>
  </si>
  <si>
    <t xml:space="preserve">LAP-001</t>
  </si>
  <si>
    <t xml:space="preserve">Laptop</t>
  </si>
  <si>
    <t xml:space="preserve">Lenovo</t>
  </si>
  <si>
    <t xml:space="preserve">ThinkPad E14</t>
  </si>
  <si>
    <t xml:space="preserve">LEN79188088</t>
  </si>
  <si>
    <t xml:space="preserve">LAP-002</t>
  </si>
  <si>
    <t xml:space="preserve">Latitude 5420</t>
  </si>
  <si>
    <t xml:space="preserve">DEL62664205</t>
  </si>
  <si>
    <t xml:space="preserve">LAP-003</t>
  </si>
  <si>
    <t xml:space="preserve">MacBook Air M1</t>
  </si>
  <si>
    <t xml:space="preserve">APP18354761</t>
  </si>
  <si>
    <t xml:space="preserve">LAP-004</t>
  </si>
  <si>
    <t xml:space="preserve">DEL31783965</t>
  </si>
  <si>
    <t xml:space="preserve">Pins broken</t>
  </si>
  <si>
    <t xml:space="preserve">LAP-005</t>
  </si>
  <si>
    <t xml:space="preserve">LEN86072408</t>
  </si>
  <si>
    <t xml:space="preserve">LAP-006</t>
  </si>
  <si>
    <t xml:space="preserve">DEL19437596</t>
  </si>
  <si>
    <t xml:space="preserve">Screen cracked</t>
  </si>
  <si>
    <t xml:space="preserve">LAP-007</t>
  </si>
  <si>
    <t xml:space="preserve">ProBook 450 G8</t>
  </si>
  <si>
    <t xml:space="preserve">HP56625835</t>
  </si>
  <si>
    <t xml:space="preserve">LAP-008</t>
  </si>
  <si>
    <t xml:space="preserve">LEN72544046</t>
  </si>
  <si>
    <t xml:space="preserve">LAP-009</t>
  </si>
  <si>
    <t xml:space="preserve">APP55987803</t>
  </si>
  <si>
    <t xml:space="preserve">LAP-010</t>
  </si>
  <si>
    <t xml:space="preserve">LEN79301246</t>
  </si>
  <si>
    <t xml:space="preserve">LAP-011</t>
  </si>
  <si>
    <t xml:space="preserve">HP58553593</t>
  </si>
  <si>
    <t xml:space="preserve">Battery swollen</t>
  </si>
  <si>
    <t xml:space="preserve">LAP-012</t>
  </si>
  <si>
    <t xml:space="preserve">DEL50008920</t>
  </si>
  <si>
    <t xml:space="preserve">LAP-013</t>
  </si>
  <si>
    <t xml:space="preserve">DEL45046288</t>
  </si>
  <si>
    <t xml:space="preserve">LAP-014</t>
  </si>
  <si>
    <t xml:space="preserve">LEN39902737</t>
  </si>
  <si>
    <t xml:space="preserve">Damaged</t>
  </si>
  <si>
    <t xml:space="preserve">Display lines</t>
  </si>
  <si>
    <t xml:space="preserve">MAC-001</t>
  </si>
  <si>
    <t xml:space="preserve">Mac Mini</t>
  </si>
  <si>
    <t xml:space="preserve">Mac mini M2</t>
  </si>
  <si>
    <t xml:space="preserve">APP42130069</t>
  </si>
  <si>
    <t xml:space="preserve">MAC-002</t>
  </si>
  <si>
    <t xml:space="preserve">APP40432459</t>
  </si>
  <si>
    <t xml:space="preserve">MAC-003</t>
  </si>
  <si>
    <t xml:space="preserve">APP47502921</t>
  </si>
  <si>
    <t xml:space="preserve">MAC-004</t>
  </si>
  <si>
    <t xml:space="preserve">APP70025882</t>
  </si>
  <si>
    <t xml:space="preserve">MAC-005</t>
  </si>
  <si>
    <t xml:space="preserve">APP20809644</t>
  </si>
  <si>
    <t xml:space="preserve">MAC-006</t>
  </si>
  <si>
    <t xml:space="preserve">Mac mini M1</t>
  </si>
  <si>
    <t xml:space="preserve">APP37430528</t>
  </si>
  <si>
    <t xml:space="preserve">CPU-001</t>
  </si>
  <si>
    <t xml:space="preserve">Desktop CPU</t>
  </si>
  <si>
    <t xml:space="preserve">ThinkCentre M70</t>
  </si>
  <si>
    <t xml:space="preserve">LEN74353833</t>
  </si>
  <si>
    <t xml:space="preserve">CPU-002</t>
  </si>
  <si>
    <t xml:space="preserve">LEN98662305</t>
  </si>
  <si>
    <t xml:space="preserve">CPU-003</t>
  </si>
  <si>
    <t xml:space="preserve">ProDesk 400 G7</t>
  </si>
  <si>
    <t xml:space="preserve">HP36752197</t>
  </si>
  <si>
    <t xml:space="preserve">CPU-004</t>
  </si>
  <si>
    <t xml:space="preserve">OptiPlex 3080</t>
  </si>
  <si>
    <t xml:space="preserve">DEL21643368</t>
  </si>
  <si>
    <t xml:space="preserve">CPU-005</t>
  </si>
  <si>
    <t xml:space="preserve">LEN31321298</t>
  </si>
  <si>
    <t xml:space="preserve">CPU-006</t>
  </si>
  <si>
    <t xml:space="preserve">DEL98027796</t>
  </si>
  <si>
    <t xml:space="preserve">CPU-007</t>
  </si>
  <si>
    <t xml:space="preserve">LEN73667109</t>
  </si>
  <si>
    <t xml:space="preserve">CPU-008</t>
  </si>
  <si>
    <t xml:space="preserve">HP12871813</t>
  </si>
  <si>
    <t xml:space="preserve">CPU-009</t>
  </si>
  <si>
    <t xml:space="preserve">LEN68224916</t>
  </si>
  <si>
    <t xml:space="preserve">CBL-001</t>
  </si>
  <si>
    <t xml:space="preserve">Power Cable</t>
  </si>
  <si>
    <t xml:space="preserve">Generic</t>
  </si>
  <si>
    <t xml:space="preserve">Figure-8</t>
  </si>
  <si>
    <t xml:space="preserve">CBL-002</t>
  </si>
  <si>
    <t xml:space="preserve">CBL-003</t>
  </si>
  <si>
    <t xml:space="preserve">IEC C13</t>
  </si>
  <si>
    <t xml:space="preserve">CBL-004</t>
  </si>
  <si>
    <t xml:space="preserve">CBL-005</t>
  </si>
  <si>
    <t xml:space="preserve">Type-C Data Cable</t>
  </si>
  <si>
    <t xml:space="preserve">Anker</t>
  </si>
  <si>
    <t xml:space="preserve">PowerLine III</t>
  </si>
  <si>
    <t xml:space="preserve">CBL-006</t>
  </si>
  <si>
    <t xml:space="preserve">CBL-007</t>
  </si>
  <si>
    <t xml:space="preserve">CBL-008</t>
  </si>
  <si>
    <t xml:space="preserve">HDMI Cable</t>
  </si>
  <si>
    <t xml:space="preserve">UGREEN</t>
  </si>
  <si>
    <t xml:space="preserve">HDMI 2.0 1.5m</t>
  </si>
  <si>
    <t xml:space="preserve">CBL-009</t>
  </si>
  <si>
    <t xml:space="preserve">CBL-010</t>
  </si>
  <si>
    <t xml:space="preserve">CBL-011</t>
  </si>
  <si>
    <t xml:space="preserve">CBL-012</t>
  </si>
  <si>
    <t xml:space="preserve">LAN Cable</t>
  </si>
  <si>
    <t xml:space="preserve">D-Link</t>
  </si>
  <si>
    <t xml:space="preserve">Cat6 3m</t>
  </si>
  <si>
    <t xml:space="preserve">CBL-013</t>
  </si>
  <si>
    <t xml:space="preserve">CBL-014</t>
  </si>
  <si>
    <t xml:space="preserve">CON-001</t>
  </si>
  <si>
    <t xml:space="preserve">HDMI to VGA Converter</t>
  </si>
  <si>
    <t xml:space="preserve">40253</t>
  </si>
  <si>
    <t xml:space="preserve">CON-002</t>
  </si>
  <si>
    <t xml:space="preserve">CON-003</t>
  </si>
  <si>
    <t xml:space="preserve">CON-004</t>
  </si>
  <si>
    <t xml:space="preserve">USB Hub 4-Port</t>
  </si>
  <si>
    <t xml:space="preserve">A7516</t>
  </si>
  <si>
    <t xml:space="preserve">CON-005</t>
  </si>
  <si>
    <t xml:space="preserve">CON-006</t>
  </si>
  <si>
    <t xml:space="preserve">CON-007</t>
  </si>
  <si>
    <t xml:space="preserve">CON-008</t>
  </si>
  <si>
    <t xml:space="preserve">Type-C to HDMI Adapter</t>
  </si>
  <si>
    <t xml:space="preserve">Baseus</t>
  </si>
  <si>
    <t xml:space="preserve">CAHUB</t>
  </si>
  <si>
    <t xml:space="preserve">CON-009</t>
  </si>
  <si>
    <t xml:space="preserve">CON-010</t>
  </si>
  <si>
    <t xml:space="preserve">Connector bent</t>
  </si>
  <si>
    <t xml:space="preserve">CON-011</t>
  </si>
  <si>
    <t xml:space="preserve">CON-012</t>
  </si>
  <si>
    <t xml:space="preserve">DP to HDMI Adapter</t>
  </si>
  <si>
    <t xml:space="preserve">Lite</t>
  </si>
  <si>
    <t xml:space="preserve">CON-013</t>
  </si>
  <si>
    <t xml:space="preserve">CON-014</t>
  </si>
  <si>
    <t xml:space="preserve">CON-015</t>
  </si>
  <si>
    <t xml:space="preserve">LAN Connector RJ45</t>
  </si>
  <si>
    <t xml:space="preserve">Cat6</t>
  </si>
  <si>
    <t xml:space="preserve">CON-016</t>
  </si>
  <si>
    <t xml:space="preserve">LST-001</t>
  </si>
  <si>
    <t xml:space="preserve">Laptop Stand</t>
  </si>
  <si>
    <t xml:space="preserve">Rain Design</t>
  </si>
  <si>
    <t xml:space="preserve">mStand</t>
  </si>
  <si>
    <t xml:space="preserve">LST-002</t>
  </si>
  <si>
    <t xml:space="preserve">LST-003</t>
  </si>
  <si>
    <t xml:space="preserve">LST-004</t>
  </si>
  <si>
    <t xml:space="preserve">Aluminium Foldable</t>
  </si>
  <si>
    <t xml:space="preserve">LST-005</t>
  </si>
  <si>
    <t xml:space="preserve">LST-006</t>
  </si>
  <si>
    <t xml:space="preserve">Port loose</t>
  </si>
  <si>
    <t xml:space="preserve">MST-001</t>
  </si>
  <si>
    <t xml:space="preserve">Mobile Stand</t>
  </si>
  <si>
    <t xml:space="preserve">Desk Holder</t>
  </si>
  <si>
    <t xml:space="preserve">MST-002</t>
  </si>
  <si>
    <t xml:space="preserve">MST-003</t>
  </si>
  <si>
    <t xml:space="preserve">Foldable</t>
  </si>
  <si>
    <t xml:space="preserve">MST-004</t>
  </si>
  <si>
    <t xml:space="preserve">MST-005</t>
  </si>
  <si>
    <t xml:space="preserve">KBM-001</t>
  </si>
  <si>
    <t xml:space="preserve">Keyboard + Mouse Combo</t>
  </si>
  <si>
    <t xml:space="preserve">Logitech</t>
  </si>
  <si>
    <t xml:space="preserve">MK270</t>
  </si>
  <si>
    <t xml:space="preserve">KBM-002</t>
  </si>
  <si>
    <t xml:space="preserve">KBM-003</t>
  </si>
  <si>
    <t xml:space="preserve">Water damage</t>
  </si>
  <si>
    <t xml:space="preserve">KBM-004</t>
  </si>
  <si>
    <t xml:space="preserve">KM100</t>
  </si>
  <si>
    <t xml:space="preserve">KBM-005</t>
  </si>
  <si>
    <t xml:space="preserve">KBM-006</t>
  </si>
  <si>
    <t xml:space="preserve">KBM-007</t>
  </si>
  <si>
    <t xml:space="preserve">Mouse</t>
  </si>
  <si>
    <t xml:space="preserve">M221</t>
  </si>
  <si>
    <t xml:space="preserve">KBM-008</t>
  </si>
  <si>
    <t xml:space="preserve">KBM-009</t>
  </si>
  <si>
    <t xml:space="preserve">CHG-001</t>
  </si>
  <si>
    <t xml:space="preserve">Laptop Charger</t>
  </si>
  <si>
    <t xml:space="preserve">65W Type-C</t>
  </si>
  <si>
    <t xml:space="preserve">CHG-002</t>
  </si>
  <si>
    <t xml:space="preserve">CHG-003</t>
  </si>
  <si>
    <t xml:space="preserve">CHG-004</t>
  </si>
  <si>
    <t xml:space="preserve">65W Blue Tip</t>
  </si>
  <si>
    <t xml:space="preserve">CHG-005</t>
  </si>
  <si>
    <t xml:space="preserve">CHG-006</t>
  </si>
  <si>
    <t xml:space="preserve">CHG-007</t>
  </si>
  <si>
    <t xml:space="preserve">Mobile Charger</t>
  </si>
  <si>
    <t xml:space="preserve">25W</t>
  </si>
  <si>
    <t xml:space="preserve">CHG-008</t>
  </si>
  <si>
    <t xml:space="preserve">CHG-009</t>
  </si>
  <si>
    <t xml:space="preserve">CHG-010</t>
  </si>
  <si>
    <t xml:space="preserve">PRN-001</t>
  </si>
  <si>
    <t xml:space="preserve">Printer</t>
  </si>
  <si>
    <t xml:space="preserve">LaserJet M111w</t>
  </si>
  <si>
    <t xml:space="preserve">HP45150991</t>
  </si>
  <si>
    <t xml:space="preserve">PRN-002</t>
  </si>
  <si>
    <t xml:space="preserve">HP81281134</t>
  </si>
  <si>
    <t xml:space="preserve">Ayesha Siddiqui</t>
  </si>
  <si>
    <t xml:space="preserve">PRN-003</t>
  </si>
  <si>
    <t xml:space="preserve">HP46308897</t>
  </si>
  <si>
    <t xml:space="preserve">PRN-004</t>
  </si>
  <si>
    <t xml:space="preserve">HP12059721</t>
  </si>
  <si>
    <t xml:space="preserve">Date</t>
  </si>
  <si>
    <t xml:space="preserve">Unit Price (PKR)</t>
  </si>
  <si>
    <t xml:space="preserve">Total (PKR)</t>
  </si>
  <si>
    <t xml:space="preserve">Vendor</t>
  </si>
  <si>
    <t xml:space="preserve">Invoice No</t>
  </si>
  <si>
    <t xml:space="preserve">Folder</t>
  </si>
  <si>
    <t xml:space="preserve">Techno City Multan</t>
  </si>
  <si>
    <t xml:space="preserve">INV-1233</t>
  </si>
  <si>
    <t xml:space="preserve">Printers</t>
  </si>
  <si>
    <t xml:space="preserve">Hafeez Center Lahore</t>
  </si>
  <si>
    <t xml:space="preserve">INV-7240</t>
  </si>
  <si>
    <t xml:space="preserve">Mobiles</t>
  </si>
  <si>
    <t xml:space="preserve">Canon</t>
  </si>
  <si>
    <t xml:space="preserve">LBP6030</t>
  </si>
  <si>
    <t xml:space="preserve">Laptop Mall</t>
  </si>
  <si>
    <t xml:space="preserve">INV-9263</t>
  </si>
  <si>
    <t xml:space="preserve">Daraz Business</t>
  </si>
  <si>
    <t xml:space="preserve">INV-4254</t>
  </si>
  <si>
    <t xml:space="preserve">Mobile Stands</t>
  </si>
  <si>
    <t xml:space="preserve">Alfatah Computers</t>
  </si>
  <si>
    <t xml:space="preserve">INV-2741</t>
  </si>
  <si>
    <t xml:space="preserve">INV-6071</t>
  </si>
  <si>
    <t xml:space="preserve">Cables</t>
  </si>
  <si>
    <t xml:space="preserve">INV-1081</t>
  </si>
  <si>
    <t xml:space="preserve">Laptop Stands</t>
  </si>
  <si>
    <t xml:space="preserve">INV-2374</t>
  </si>
  <si>
    <t xml:space="preserve">INV-9096</t>
  </si>
  <si>
    <t xml:space="preserve">Keyboard &amp; Mouse</t>
  </si>
  <si>
    <t xml:space="preserve">INV-1682</t>
  </si>
  <si>
    <t xml:space="preserve">INV-5312</t>
  </si>
  <si>
    <t xml:space="preserve">INV-7440</t>
  </si>
  <si>
    <t xml:space="preserve">Chargers</t>
  </si>
  <si>
    <t xml:space="preserve">INV-2384</t>
  </si>
  <si>
    <t xml:space="preserve">Connectors</t>
  </si>
  <si>
    <t xml:space="preserve">INV-1717</t>
  </si>
  <si>
    <t xml:space="preserve">Laptops</t>
  </si>
  <si>
    <t xml:space="preserve">INV-1741</t>
  </si>
  <si>
    <t xml:space="preserve">Rizwan Traders</t>
  </si>
  <si>
    <t xml:space="preserve">INV-4767</t>
  </si>
  <si>
    <t xml:space="preserve">Summary (sheet ke liye, web page ise nahi dikhata)</t>
  </si>
  <si>
    <t xml:space="preserve">Yeh sheet khud calculate hoti hai. Qty khali ho to 1 ginti hai.</t>
  </si>
  <si>
    <t xml:space="preserve">Total</t>
  </si>
  <si>
    <t xml:space="preserve">Screens</t>
  </si>
  <si>
    <t xml:space="preserve">CPU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</si>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</sst>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23.8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 t="n">
        <v>1</v>
      </c>
      <c r="G2" s="4" t="s">
        <v>26</v>
      </c>
      <c r="H2" s="4"/>
      <c r="I2" s="4" t="s">
        <v>27</v>
      </c>
      <c r="J2" s="6" t="n">
        <v>44354</v>
      </c>
      <c r="K2" s="4" t="s">
        <v>28</v>
      </c>
    </row>
    <row r="3" customFormat="false" ht="15" hidden="false" customHeight="false" outlineLevel="0" collapsed="false">
      <c r="A3" s="4" t="s">
        <v>29</v>
      </c>
      <c r="B3" s="4" t="s">
        <v>22</v>
      </c>
      <c r="C3" s="4" t="s">
        <v>30</v>
      </c>
      <c r="D3" s="4" t="s">
        <v>31</v>
      </c>
      <c r="E3" s="4" t="s">
        <v>32</v>
      </c>
      <c r="F3" s="5" t="n">
        <v>1</v>
      </c>
      <c r="G3" s="4" t="s">
        <v>33</v>
      </c>
      <c r="H3" s="4"/>
      <c r="I3" s="4" t="s">
        <v>27</v>
      </c>
      <c r="J3" s="6" t="n">
        <v>45004</v>
      </c>
      <c r="K3" s="4"/>
    </row>
    <row r="4" customFormat="false" ht="15" hidden="false" customHeight="false" outlineLevel="0" collapsed="false">
      <c r="A4" s="4" t="s">
        <v>34</v>
      </c>
      <c r="B4" s="4" t="s">
        <v>22</v>
      </c>
      <c r="C4" s="4" t="s">
        <v>35</v>
      </c>
      <c r="D4" s="4" t="s">
        <v>36</v>
      </c>
      <c r="E4" s="4" t="s">
        <v>37</v>
      </c>
      <c r="F4" s="5" t="n">
        <v>1</v>
      </c>
      <c r="G4" s="4" t="s">
        <v>38</v>
      </c>
      <c r="H4" s="4" t="s">
        <v>39</v>
      </c>
      <c r="I4" s="4" t="s">
        <v>40</v>
      </c>
      <c r="J4" s="6" t="n">
        <v>44432</v>
      </c>
      <c r="K4" s="4"/>
    </row>
    <row r="5" customFormat="false" ht="15" hidden="false" customHeight="false" outlineLevel="0" collapsed="false">
      <c r="A5" s="4" t="s">
        <v>41</v>
      </c>
      <c r="B5" s="4" t="s">
        <v>22</v>
      </c>
      <c r="C5" s="4" t="s">
        <v>42</v>
      </c>
      <c r="D5" s="4" t="s">
        <v>43</v>
      </c>
      <c r="E5" s="4" t="s">
        <v>44</v>
      </c>
      <c r="F5" s="5" t="n">
        <v>1</v>
      </c>
      <c r="G5" s="4" t="s">
        <v>38</v>
      </c>
      <c r="H5" s="4" t="s">
        <v>45</v>
      </c>
      <c r="I5" s="4" t="s">
        <v>46</v>
      </c>
      <c r="J5" s="6" t="n">
        <v>45125</v>
      </c>
      <c r="K5" s="4"/>
    </row>
    <row r="6" customFormat="false" ht="15" hidden="false" customHeight="false" outlineLevel="0" collapsed="false">
      <c r="A6" s="4" t="s">
        <v>47</v>
      </c>
      <c r="B6" s="4" t="s">
        <v>22</v>
      </c>
      <c r="C6" s="4" t="s">
        <v>30</v>
      </c>
      <c r="D6" s="4" t="s">
        <v>31</v>
      </c>
      <c r="E6" s="4" t="s">
        <v>48</v>
      </c>
      <c r="F6" s="5" t="n">
        <v>1</v>
      </c>
      <c r="G6" s="4" t="s">
        <v>33</v>
      </c>
      <c r="H6" s="4"/>
      <c r="I6" s="4" t="s">
        <v>27</v>
      </c>
      <c r="J6" s="6" t="n">
        <v>46196</v>
      </c>
      <c r="K6" s="4"/>
    </row>
    <row r="7" customFormat="false" ht="15" hidden="false" customHeight="false" outlineLevel="0" collapsed="false">
      <c r="A7" s="4" t="s">
        <v>49</v>
      </c>
      <c r="B7" s="4" t="s">
        <v>22</v>
      </c>
      <c r="C7" s="4" t="s">
        <v>50</v>
      </c>
      <c r="D7" s="4" t="s">
        <v>51</v>
      </c>
      <c r="E7" s="4" t="s">
        <v>52</v>
      </c>
      <c r="F7" s="5" t="n">
        <v>1</v>
      </c>
      <c r="G7" s="4" t="s">
        <v>38</v>
      </c>
      <c r="H7" s="4" t="s">
        <v>53</v>
      </c>
      <c r="I7" s="4" t="s">
        <v>46</v>
      </c>
      <c r="J7" s="6" t="n">
        <v>45455</v>
      </c>
      <c r="K7" s="4"/>
    </row>
    <row r="8" customFormat="false" ht="15" hidden="false" customHeight="false" outlineLevel="0" collapsed="false">
      <c r="A8" s="4" t="s">
        <v>54</v>
      </c>
      <c r="B8" s="4" t="s">
        <v>22</v>
      </c>
      <c r="C8" s="4" t="s">
        <v>42</v>
      </c>
      <c r="D8" s="4" t="s">
        <v>43</v>
      </c>
      <c r="E8" s="4" t="s">
        <v>55</v>
      </c>
      <c r="F8" s="5" t="n">
        <v>1</v>
      </c>
      <c r="G8" s="4" t="s">
        <v>38</v>
      </c>
      <c r="H8" s="4" t="s">
        <v>45</v>
      </c>
      <c r="I8" s="4" t="s">
        <v>46</v>
      </c>
      <c r="J8" s="6" t="n">
        <v>46014</v>
      </c>
      <c r="K8" s="4"/>
    </row>
    <row r="9" customFormat="false" ht="15" hidden="false" customHeight="false" outlineLevel="0" collapsed="false">
      <c r="A9" s="4" t="s">
        <v>56</v>
      </c>
      <c r="B9" s="4" t="s">
        <v>22</v>
      </c>
      <c r="C9" s="4" t="s">
        <v>50</v>
      </c>
      <c r="D9" s="4" t="s">
        <v>51</v>
      </c>
      <c r="E9" s="4" t="s">
        <v>57</v>
      </c>
      <c r="F9" s="5" t="n">
        <v>1</v>
      </c>
      <c r="G9" s="4" t="s">
        <v>38</v>
      </c>
      <c r="H9" s="4" t="s">
        <v>58</v>
      </c>
      <c r="I9" s="4" t="s">
        <v>59</v>
      </c>
      <c r="J9" s="6" t="n">
        <v>45425</v>
      </c>
      <c r="K9" s="4"/>
    </row>
    <row r="10" customFormat="false" ht="15" hidden="false" customHeight="false" outlineLevel="0" collapsed="false">
      <c r="A10" s="4" t="s">
        <v>60</v>
      </c>
      <c r="B10" s="4" t="s">
        <v>22</v>
      </c>
      <c r="C10" s="4" t="s">
        <v>23</v>
      </c>
      <c r="D10" s="4" t="s">
        <v>24</v>
      </c>
      <c r="E10" s="4" t="s">
        <v>61</v>
      </c>
      <c r="F10" s="5" t="n">
        <v>1</v>
      </c>
      <c r="G10" s="4" t="s">
        <v>38</v>
      </c>
      <c r="H10" s="4" t="s">
        <v>62</v>
      </c>
      <c r="I10" s="4" t="s">
        <v>40</v>
      </c>
      <c r="J10" s="6" t="n">
        <v>45447</v>
      </c>
      <c r="K10" s="4"/>
    </row>
    <row r="11" customFormat="false" ht="15" hidden="false" customHeight="false" outlineLevel="0" collapsed="false">
      <c r="A11" s="4" t="s">
        <v>63</v>
      </c>
      <c r="B11" s="4" t="s">
        <v>22</v>
      </c>
      <c r="C11" s="4" t="s">
        <v>35</v>
      </c>
      <c r="D11" s="4" t="s">
        <v>36</v>
      </c>
      <c r="E11" s="4" t="s">
        <v>64</v>
      </c>
      <c r="F11" s="5" t="n">
        <v>1</v>
      </c>
      <c r="G11" s="4" t="s">
        <v>38</v>
      </c>
      <c r="H11" s="4" t="s">
        <v>65</v>
      </c>
      <c r="I11" s="4" t="s">
        <v>46</v>
      </c>
      <c r="J11" s="6" t="n">
        <v>45714</v>
      </c>
      <c r="K11" s="4"/>
    </row>
    <row r="12" customFormat="false" ht="15" hidden="false" customHeight="false" outlineLevel="0" collapsed="false">
      <c r="A12" s="4" t="s">
        <v>66</v>
      </c>
      <c r="B12" s="4" t="s">
        <v>22</v>
      </c>
      <c r="C12" s="4" t="s">
        <v>30</v>
      </c>
      <c r="D12" s="4" t="s">
        <v>31</v>
      </c>
      <c r="E12" s="4" t="s">
        <v>67</v>
      </c>
      <c r="F12" s="5" t="n">
        <v>1</v>
      </c>
      <c r="G12" s="4" t="s">
        <v>38</v>
      </c>
      <c r="H12" s="4" t="s">
        <v>53</v>
      </c>
      <c r="I12" s="4" t="s">
        <v>40</v>
      </c>
      <c r="J12" s="6" t="n">
        <v>45649</v>
      </c>
      <c r="K12" s="4"/>
    </row>
    <row r="13" customFormat="false" ht="15" hidden="false" customHeight="false" outlineLevel="0" collapsed="false">
      <c r="A13" s="4" t="s">
        <v>68</v>
      </c>
      <c r="B13" s="4" t="s">
        <v>22</v>
      </c>
      <c r="C13" s="4" t="s">
        <v>35</v>
      </c>
      <c r="D13" s="4" t="s">
        <v>36</v>
      </c>
      <c r="E13" s="4" t="s">
        <v>69</v>
      </c>
      <c r="F13" s="5" t="n">
        <v>1</v>
      </c>
      <c r="G13" s="4" t="s">
        <v>38</v>
      </c>
      <c r="H13" s="4" t="s">
        <v>65</v>
      </c>
      <c r="I13" s="4" t="s">
        <v>70</v>
      </c>
      <c r="J13" s="6" t="n">
        <v>46147</v>
      </c>
      <c r="K13" s="4"/>
    </row>
    <row r="14" customFormat="false" ht="15" hidden="false" customHeight="false" outlineLevel="0" collapsed="false">
      <c r="A14" s="4" t="s">
        <v>71</v>
      </c>
      <c r="B14" s="4" t="s">
        <v>22</v>
      </c>
      <c r="C14" s="4" t="s">
        <v>42</v>
      </c>
      <c r="D14" s="4" t="s">
        <v>43</v>
      </c>
      <c r="E14" s="4" t="s">
        <v>72</v>
      </c>
      <c r="F14" s="5" t="n">
        <v>1</v>
      </c>
      <c r="G14" s="4" t="s">
        <v>38</v>
      </c>
      <c r="H14" s="4" t="s">
        <v>45</v>
      </c>
      <c r="I14" s="4" t="s">
        <v>40</v>
      </c>
      <c r="J14" s="6" t="n">
        <v>44423</v>
      </c>
      <c r="K14" s="4"/>
    </row>
    <row r="15" customFormat="false" ht="15" hidden="false" customHeight="false" outlineLevel="0" collapsed="false">
      <c r="A15" s="4" t="s">
        <v>73</v>
      </c>
      <c r="B15" s="4" t="s">
        <v>22</v>
      </c>
      <c r="C15" s="4" t="s">
        <v>35</v>
      </c>
      <c r="D15" s="4" t="s">
        <v>36</v>
      </c>
      <c r="E15" s="4" t="s">
        <v>74</v>
      </c>
      <c r="F15" s="5" t="n">
        <v>1</v>
      </c>
      <c r="G15" s="4" t="s">
        <v>38</v>
      </c>
      <c r="H15" s="4" t="s">
        <v>75</v>
      </c>
      <c r="I15" s="4" t="s">
        <v>76</v>
      </c>
      <c r="J15" s="6" t="n">
        <v>44845</v>
      </c>
      <c r="K15" s="4"/>
    </row>
    <row r="16" customFormat="false" ht="15" hidden="false" customHeight="false" outlineLevel="0" collapsed="false">
      <c r="A16" s="4" t="s">
        <v>77</v>
      </c>
      <c r="B16" s="4" t="s">
        <v>22</v>
      </c>
      <c r="C16" s="4" t="s">
        <v>35</v>
      </c>
      <c r="D16" s="4" t="s">
        <v>36</v>
      </c>
      <c r="E16" s="4" t="s">
        <v>78</v>
      </c>
      <c r="F16" s="5" t="n">
        <v>1</v>
      </c>
      <c r="G16" s="4" t="s">
        <v>26</v>
      </c>
      <c r="H16" s="4"/>
      <c r="I16" s="4" t="s">
        <v>27</v>
      </c>
      <c r="J16" s="6" t="n">
        <v>45112</v>
      </c>
      <c r="K16" s="4" t="s">
        <v>79</v>
      </c>
    </row>
    <row r="17" customFormat="false" ht="15" hidden="false" customHeight="false" outlineLevel="0" collapsed="false">
      <c r="A17" s="4" t="s">
        <v>80</v>
      </c>
      <c r="B17" s="4" t="s">
        <v>22</v>
      </c>
      <c r="C17" s="4" t="s">
        <v>50</v>
      </c>
      <c r="D17" s="4" t="s">
        <v>51</v>
      </c>
      <c r="E17" s="4" t="s">
        <v>81</v>
      </c>
      <c r="F17" s="5" t="n">
        <v>1</v>
      </c>
      <c r="G17" s="4" t="s">
        <v>33</v>
      </c>
      <c r="H17" s="4"/>
      <c r="I17" s="4" t="s">
        <v>27</v>
      </c>
      <c r="J17" s="6" t="n">
        <v>46167</v>
      </c>
      <c r="K17" s="4"/>
    </row>
  </sheetData>
  <autoFilter ref="A1:K17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82</v>
      </c>
      <c r="B2" s="4" t="s">
        <v>83</v>
      </c>
      <c r="C2" s="4" t="s">
        <v>84</v>
      </c>
      <c r="D2" s="4" t="s">
        <v>85</v>
      </c>
      <c r="E2" s="4" t="s">
        <v>86</v>
      </c>
      <c r="F2" s="5" t="n">
        <v>1</v>
      </c>
      <c r="G2" s="4" t="s">
        <v>38</v>
      </c>
      <c r="H2" s="4" t="s">
        <v>62</v>
      </c>
      <c r="I2" s="4" t="s">
        <v>46</v>
      </c>
      <c r="J2" s="6" t="n">
        <v>45429</v>
      </c>
      <c r="K2" s="4"/>
    </row>
    <row r="3" customFormat="false" ht="15" hidden="false" customHeight="false" outlineLevel="0" collapsed="false">
      <c r="A3" s="4" t="s">
        <v>87</v>
      </c>
      <c r="B3" s="4" t="s">
        <v>83</v>
      </c>
      <c r="C3" s="4" t="s">
        <v>88</v>
      </c>
      <c r="D3" s="4" t="s">
        <v>89</v>
      </c>
      <c r="E3" s="4" t="s">
        <v>90</v>
      </c>
      <c r="F3" s="5" t="n">
        <v>1</v>
      </c>
      <c r="G3" s="4" t="s">
        <v>38</v>
      </c>
      <c r="H3" s="4" t="s">
        <v>65</v>
      </c>
      <c r="I3" s="4" t="s">
        <v>59</v>
      </c>
      <c r="J3" s="6" t="n">
        <v>45443</v>
      </c>
      <c r="K3" s="4"/>
    </row>
    <row r="4" customFormat="false" ht="15" hidden="false" customHeight="false" outlineLevel="0" collapsed="false">
      <c r="A4" s="4" t="s">
        <v>91</v>
      </c>
      <c r="B4" s="4" t="s">
        <v>83</v>
      </c>
      <c r="C4" s="4" t="s">
        <v>84</v>
      </c>
      <c r="D4" s="4" t="s">
        <v>85</v>
      </c>
      <c r="E4" s="4" t="s">
        <v>92</v>
      </c>
      <c r="F4" s="5" t="n">
        <v>1</v>
      </c>
      <c r="G4" s="4" t="s">
        <v>38</v>
      </c>
      <c r="H4" s="4" t="s">
        <v>93</v>
      </c>
      <c r="I4" s="4" t="s">
        <v>76</v>
      </c>
      <c r="J4" s="6" t="n">
        <v>45683</v>
      </c>
      <c r="K4" s="4"/>
    </row>
    <row r="5" customFormat="false" ht="15" hidden="false" customHeight="false" outlineLevel="0" collapsed="false">
      <c r="A5" s="4" t="s">
        <v>94</v>
      </c>
      <c r="B5" s="4" t="s">
        <v>83</v>
      </c>
      <c r="C5" s="4" t="s">
        <v>42</v>
      </c>
      <c r="D5" s="4" t="s">
        <v>95</v>
      </c>
      <c r="E5" s="4" t="s">
        <v>96</v>
      </c>
      <c r="F5" s="5" t="n">
        <v>1</v>
      </c>
      <c r="G5" s="4" t="s">
        <v>38</v>
      </c>
      <c r="H5" s="4" t="s">
        <v>97</v>
      </c>
      <c r="I5" s="4" t="s">
        <v>76</v>
      </c>
      <c r="J5" s="6" t="n">
        <v>45439</v>
      </c>
      <c r="K5" s="4"/>
    </row>
    <row r="6" customFormat="false" ht="15" hidden="false" customHeight="false" outlineLevel="0" collapsed="false">
      <c r="A6" s="4" t="s">
        <v>98</v>
      </c>
      <c r="B6" s="4" t="s">
        <v>83</v>
      </c>
      <c r="C6" s="4" t="s">
        <v>84</v>
      </c>
      <c r="D6" s="4" t="s">
        <v>85</v>
      </c>
      <c r="E6" s="4" t="s">
        <v>99</v>
      </c>
      <c r="F6" s="5" t="n">
        <v>1</v>
      </c>
      <c r="G6" s="4" t="s">
        <v>38</v>
      </c>
      <c r="H6" s="4" t="s">
        <v>100</v>
      </c>
      <c r="I6" s="4" t="s">
        <v>76</v>
      </c>
      <c r="J6" s="6" t="n">
        <v>46182</v>
      </c>
      <c r="K6" s="4"/>
    </row>
    <row r="7" customFormat="false" ht="15" hidden="false" customHeight="false" outlineLevel="0" collapsed="false">
      <c r="A7" s="4" t="s">
        <v>101</v>
      </c>
      <c r="B7" s="4" t="s">
        <v>83</v>
      </c>
      <c r="C7" s="4" t="s">
        <v>84</v>
      </c>
      <c r="D7" s="4" t="s">
        <v>85</v>
      </c>
      <c r="E7" s="4" t="s">
        <v>102</v>
      </c>
      <c r="F7" s="5" t="n">
        <v>1</v>
      </c>
      <c r="G7" s="4" t="s">
        <v>38</v>
      </c>
      <c r="H7" s="4" t="s">
        <v>53</v>
      </c>
      <c r="I7" s="4" t="s">
        <v>46</v>
      </c>
      <c r="J7" s="6" t="n">
        <v>44376</v>
      </c>
      <c r="K7" s="4"/>
    </row>
    <row r="8" customFormat="false" ht="15" hidden="false" customHeight="false" outlineLevel="0" collapsed="false">
      <c r="A8" s="4" t="s">
        <v>103</v>
      </c>
      <c r="B8" s="4" t="s">
        <v>83</v>
      </c>
      <c r="C8" s="4" t="s">
        <v>104</v>
      </c>
      <c r="D8" s="4" t="s">
        <v>105</v>
      </c>
      <c r="E8" s="4" t="s">
        <v>106</v>
      </c>
      <c r="F8" s="5" t="n">
        <v>1</v>
      </c>
      <c r="G8" s="4" t="s">
        <v>33</v>
      </c>
      <c r="H8" s="4"/>
      <c r="I8" s="4" t="s">
        <v>27</v>
      </c>
      <c r="J8" s="6" t="n">
        <v>45768</v>
      </c>
      <c r="K8" s="4"/>
    </row>
    <row r="9" customFormat="false" ht="15" hidden="false" customHeight="false" outlineLevel="0" collapsed="false">
      <c r="A9" s="4" t="s">
        <v>107</v>
      </c>
      <c r="B9" s="4" t="s">
        <v>83</v>
      </c>
      <c r="C9" s="4" t="s">
        <v>104</v>
      </c>
      <c r="D9" s="4" t="s">
        <v>105</v>
      </c>
      <c r="E9" s="4" t="s">
        <v>108</v>
      </c>
      <c r="F9" s="5" t="n">
        <v>1</v>
      </c>
      <c r="G9" s="4" t="s">
        <v>38</v>
      </c>
      <c r="H9" s="4" t="s">
        <v>75</v>
      </c>
      <c r="I9" s="4" t="s">
        <v>46</v>
      </c>
      <c r="J9" s="6" t="n">
        <v>45175</v>
      </c>
      <c r="K9" s="4"/>
    </row>
    <row r="10" customFormat="false" ht="15" hidden="false" customHeight="false" outlineLevel="0" collapsed="false">
      <c r="A10" s="4" t="s">
        <v>109</v>
      </c>
      <c r="B10" s="4" t="s">
        <v>83</v>
      </c>
      <c r="C10" s="4" t="s">
        <v>84</v>
      </c>
      <c r="D10" s="4" t="s">
        <v>85</v>
      </c>
      <c r="E10" s="4" t="s">
        <v>110</v>
      </c>
      <c r="F10" s="5" t="n">
        <v>1</v>
      </c>
      <c r="G10" s="4" t="s">
        <v>38</v>
      </c>
      <c r="H10" s="4" t="s">
        <v>58</v>
      </c>
      <c r="I10" s="4" t="s">
        <v>70</v>
      </c>
      <c r="J10" s="6" t="n">
        <v>44826</v>
      </c>
      <c r="K10" s="4"/>
    </row>
    <row r="11" customFormat="false" ht="15" hidden="false" customHeight="false" outlineLevel="0" collapsed="false">
      <c r="A11" s="4" t="s">
        <v>111</v>
      </c>
      <c r="B11" s="4" t="s">
        <v>83</v>
      </c>
      <c r="C11" s="4" t="s">
        <v>84</v>
      </c>
      <c r="D11" s="4" t="s">
        <v>85</v>
      </c>
      <c r="E11" s="4" t="s">
        <v>112</v>
      </c>
      <c r="F11" s="5" t="n">
        <v>1</v>
      </c>
      <c r="G11" s="4" t="s">
        <v>26</v>
      </c>
      <c r="H11" s="4"/>
      <c r="I11" s="4" t="s">
        <v>27</v>
      </c>
      <c r="J11" s="6" t="n">
        <v>44565</v>
      </c>
      <c r="K11" s="4" t="s">
        <v>28</v>
      </c>
    </row>
    <row r="12" customFormat="false" ht="15" hidden="false" customHeight="false" outlineLevel="0" collapsed="false">
      <c r="A12" s="4" t="s">
        <v>113</v>
      </c>
      <c r="B12" s="4" t="s">
        <v>83</v>
      </c>
      <c r="C12" s="4" t="s">
        <v>42</v>
      </c>
      <c r="D12" s="4" t="s">
        <v>95</v>
      </c>
      <c r="E12" s="4" t="s">
        <v>114</v>
      </c>
      <c r="F12" s="5" t="n">
        <v>1</v>
      </c>
      <c r="G12" s="4" t="s">
        <v>38</v>
      </c>
      <c r="H12" s="4" t="s">
        <v>45</v>
      </c>
      <c r="I12" s="4" t="s">
        <v>40</v>
      </c>
      <c r="J12" s="6" t="n">
        <v>45249</v>
      </c>
      <c r="K12" s="4"/>
    </row>
    <row r="13" customFormat="false" ht="15" hidden="false" customHeight="false" outlineLevel="0" collapsed="false">
      <c r="A13" s="4" t="s">
        <v>115</v>
      </c>
      <c r="B13" s="4" t="s">
        <v>83</v>
      </c>
      <c r="C13" s="4" t="s">
        <v>104</v>
      </c>
      <c r="D13" s="4" t="s">
        <v>105</v>
      </c>
      <c r="E13" s="4" t="s">
        <v>116</v>
      </c>
      <c r="F13" s="5" t="n">
        <v>1</v>
      </c>
      <c r="G13" s="4" t="s">
        <v>38</v>
      </c>
      <c r="H13" s="4" t="s">
        <v>117</v>
      </c>
      <c r="I13" s="4" t="s">
        <v>40</v>
      </c>
      <c r="J13" s="6" t="n">
        <v>45350</v>
      </c>
      <c r="K13" s="4"/>
    </row>
  </sheetData>
  <autoFilter ref="A1:K13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118</v>
      </c>
      <c r="B2" s="4" t="s">
        <v>119</v>
      </c>
      <c r="C2" s="4" t="s">
        <v>120</v>
      </c>
      <c r="D2" s="4" t="s">
        <v>121</v>
      </c>
      <c r="E2" s="4" t="s">
        <v>122</v>
      </c>
      <c r="F2" s="5" t="n">
        <v>1</v>
      </c>
      <c r="G2" s="4" t="s">
        <v>38</v>
      </c>
      <c r="H2" s="4" t="s">
        <v>65</v>
      </c>
      <c r="I2" s="4" t="s">
        <v>40</v>
      </c>
      <c r="J2" s="6" t="n">
        <v>46202</v>
      </c>
      <c r="K2" s="4"/>
    </row>
    <row r="3" customFormat="false" ht="15" hidden="false" customHeight="false" outlineLevel="0" collapsed="false">
      <c r="A3" s="4" t="s">
        <v>123</v>
      </c>
      <c r="B3" s="4" t="s">
        <v>119</v>
      </c>
      <c r="C3" s="4" t="s">
        <v>30</v>
      </c>
      <c r="D3" s="4" t="s">
        <v>124</v>
      </c>
      <c r="E3" s="4" t="s">
        <v>125</v>
      </c>
      <c r="F3" s="5" t="n">
        <v>1</v>
      </c>
      <c r="G3" s="4" t="s">
        <v>38</v>
      </c>
      <c r="H3" s="4" t="s">
        <v>62</v>
      </c>
      <c r="I3" s="4" t="s">
        <v>59</v>
      </c>
      <c r="J3" s="6" t="n">
        <v>45071</v>
      </c>
      <c r="K3" s="4"/>
    </row>
    <row r="4" customFormat="false" ht="15" hidden="false" customHeight="false" outlineLevel="0" collapsed="false">
      <c r="A4" s="4" t="s">
        <v>126</v>
      </c>
      <c r="B4" s="4" t="s">
        <v>119</v>
      </c>
      <c r="C4" s="4" t="s">
        <v>104</v>
      </c>
      <c r="D4" s="4" t="s">
        <v>127</v>
      </c>
      <c r="E4" s="4" t="s">
        <v>128</v>
      </c>
      <c r="F4" s="5" t="n">
        <v>1</v>
      </c>
      <c r="G4" s="4" t="s">
        <v>38</v>
      </c>
      <c r="H4" s="4" t="s">
        <v>75</v>
      </c>
      <c r="I4" s="4" t="s">
        <v>70</v>
      </c>
      <c r="J4" s="6" t="n">
        <v>44646</v>
      </c>
      <c r="K4" s="4"/>
    </row>
    <row r="5" customFormat="false" ht="15" hidden="false" customHeight="false" outlineLevel="0" collapsed="false">
      <c r="A5" s="4" t="s">
        <v>129</v>
      </c>
      <c r="B5" s="4" t="s">
        <v>119</v>
      </c>
      <c r="C5" s="4" t="s">
        <v>30</v>
      </c>
      <c r="D5" s="4" t="s">
        <v>124</v>
      </c>
      <c r="E5" s="4" t="s">
        <v>130</v>
      </c>
      <c r="F5" s="5" t="n">
        <v>1</v>
      </c>
      <c r="G5" s="4" t="s">
        <v>26</v>
      </c>
      <c r="H5" s="4"/>
      <c r="I5" s="4" t="s">
        <v>27</v>
      </c>
      <c r="J5" s="6" t="n">
        <v>44481</v>
      </c>
      <c r="K5" s="4" t="s">
        <v>131</v>
      </c>
    </row>
    <row r="6" customFormat="false" ht="15" hidden="false" customHeight="false" outlineLevel="0" collapsed="false">
      <c r="A6" s="4" t="s">
        <v>132</v>
      </c>
      <c r="B6" s="4" t="s">
        <v>119</v>
      </c>
      <c r="C6" s="4" t="s">
        <v>120</v>
      </c>
      <c r="D6" s="4" t="s">
        <v>121</v>
      </c>
      <c r="E6" s="4" t="s">
        <v>133</v>
      </c>
      <c r="F6" s="5" t="n">
        <v>1</v>
      </c>
      <c r="G6" s="4" t="s">
        <v>38</v>
      </c>
      <c r="H6" s="4" t="s">
        <v>93</v>
      </c>
      <c r="I6" s="4" t="s">
        <v>46</v>
      </c>
      <c r="J6" s="6" t="n">
        <v>44565</v>
      </c>
      <c r="K6" s="4"/>
    </row>
    <row r="7" customFormat="false" ht="15" hidden="false" customHeight="false" outlineLevel="0" collapsed="false">
      <c r="A7" s="4" t="s">
        <v>134</v>
      </c>
      <c r="B7" s="4" t="s">
        <v>119</v>
      </c>
      <c r="C7" s="4" t="s">
        <v>30</v>
      </c>
      <c r="D7" s="4" t="s">
        <v>124</v>
      </c>
      <c r="E7" s="4" t="s">
        <v>135</v>
      </c>
      <c r="F7" s="5" t="n">
        <v>1</v>
      </c>
      <c r="G7" s="4" t="s">
        <v>26</v>
      </c>
      <c r="H7" s="4"/>
      <c r="I7" s="4" t="s">
        <v>27</v>
      </c>
      <c r="J7" s="6" t="n">
        <v>46046</v>
      </c>
      <c r="K7" s="4" t="s">
        <v>136</v>
      </c>
    </row>
    <row r="8" customFormat="false" ht="15" hidden="false" customHeight="false" outlineLevel="0" collapsed="false">
      <c r="A8" s="4" t="s">
        <v>137</v>
      </c>
      <c r="B8" s="4" t="s">
        <v>119</v>
      </c>
      <c r="C8" s="4" t="s">
        <v>23</v>
      </c>
      <c r="D8" s="4" t="s">
        <v>138</v>
      </c>
      <c r="E8" s="4" t="s">
        <v>139</v>
      </c>
      <c r="F8" s="5" t="n">
        <v>1</v>
      </c>
      <c r="G8" s="4" t="s">
        <v>38</v>
      </c>
      <c r="H8" s="4" t="s">
        <v>58</v>
      </c>
      <c r="I8" s="4" t="s">
        <v>76</v>
      </c>
      <c r="J8" s="6" t="n">
        <v>45489</v>
      </c>
      <c r="K8" s="4"/>
    </row>
    <row r="9" customFormat="false" ht="15" hidden="false" customHeight="false" outlineLevel="0" collapsed="false">
      <c r="A9" s="4" t="s">
        <v>140</v>
      </c>
      <c r="B9" s="4" t="s">
        <v>119</v>
      </c>
      <c r="C9" s="4" t="s">
        <v>120</v>
      </c>
      <c r="D9" s="4" t="s">
        <v>121</v>
      </c>
      <c r="E9" s="4" t="s">
        <v>141</v>
      </c>
      <c r="F9" s="5" t="n">
        <v>1</v>
      </c>
      <c r="G9" s="4" t="s">
        <v>38</v>
      </c>
      <c r="H9" s="4" t="s">
        <v>93</v>
      </c>
      <c r="I9" s="4" t="s">
        <v>70</v>
      </c>
      <c r="J9" s="6" t="n">
        <v>45239</v>
      </c>
      <c r="K9" s="4"/>
    </row>
    <row r="10" customFormat="false" ht="15" hidden="false" customHeight="false" outlineLevel="0" collapsed="false">
      <c r="A10" s="4" t="s">
        <v>142</v>
      </c>
      <c r="B10" s="4" t="s">
        <v>119</v>
      </c>
      <c r="C10" s="4" t="s">
        <v>104</v>
      </c>
      <c r="D10" s="4" t="s">
        <v>127</v>
      </c>
      <c r="E10" s="4" t="s">
        <v>143</v>
      </c>
      <c r="F10" s="5" t="n">
        <v>1</v>
      </c>
      <c r="G10" s="4" t="s">
        <v>38</v>
      </c>
      <c r="H10" s="4" t="s">
        <v>58</v>
      </c>
      <c r="I10" s="4" t="s">
        <v>46</v>
      </c>
      <c r="J10" s="6" t="n">
        <v>45772</v>
      </c>
      <c r="K10" s="4"/>
    </row>
    <row r="11" customFormat="false" ht="15" hidden="false" customHeight="false" outlineLevel="0" collapsed="false">
      <c r="A11" s="4" t="s">
        <v>144</v>
      </c>
      <c r="B11" s="4" t="s">
        <v>119</v>
      </c>
      <c r="C11" s="4" t="s">
        <v>120</v>
      </c>
      <c r="D11" s="4" t="s">
        <v>121</v>
      </c>
      <c r="E11" s="4" t="s">
        <v>145</v>
      </c>
      <c r="F11" s="5" t="n">
        <v>1</v>
      </c>
      <c r="G11" s="4" t="s">
        <v>38</v>
      </c>
      <c r="H11" s="4" t="s">
        <v>97</v>
      </c>
      <c r="I11" s="4" t="s">
        <v>40</v>
      </c>
      <c r="J11" s="6" t="n">
        <v>44303</v>
      </c>
      <c r="K11" s="4"/>
    </row>
    <row r="12" customFormat="false" ht="15" hidden="false" customHeight="false" outlineLevel="0" collapsed="false">
      <c r="A12" s="4" t="s">
        <v>146</v>
      </c>
      <c r="B12" s="4" t="s">
        <v>119</v>
      </c>
      <c r="C12" s="4" t="s">
        <v>23</v>
      </c>
      <c r="D12" s="4" t="s">
        <v>138</v>
      </c>
      <c r="E12" s="4" t="s">
        <v>147</v>
      </c>
      <c r="F12" s="5" t="n">
        <v>1</v>
      </c>
      <c r="G12" s="4" t="s">
        <v>26</v>
      </c>
      <c r="H12" s="4"/>
      <c r="I12" s="4" t="s">
        <v>27</v>
      </c>
      <c r="J12" s="6" t="n">
        <v>44556</v>
      </c>
      <c r="K12" s="4" t="s">
        <v>148</v>
      </c>
    </row>
    <row r="13" customFormat="false" ht="15" hidden="false" customHeight="false" outlineLevel="0" collapsed="false">
      <c r="A13" s="4" t="s">
        <v>149</v>
      </c>
      <c r="B13" s="4" t="s">
        <v>119</v>
      </c>
      <c r="C13" s="4" t="s">
        <v>30</v>
      </c>
      <c r="D13" s="4" t="s">
        <v>124</v>
      </c>
      <c r="E13" s="4" t="s">
        <v>150</v>
      </c>
      <c r="F13" s="5" t="n">
        <v>1</v>
      </c>
      <c r="G13" s="4" t="s">
        <v>33</v>
      </c>
      <c r="H13" s="4"/>
      <c r="I13" s="4" t="s">
        <v>27</v>
      </c>
      <c r="J13" s="6" t="n">
        <v>45572</v>
      </c>
      <c r="K13" s="4"/>
    </row>
    <row r="14" customFormat="false" ht="15" hidden="false" customHeight="false" outlineLevel="0" collapsed="false">
      <c r="A14" s="4" t="s">
        <v>151</v>
      </c>
      <c r="B14" s="4" t="s">
        <v>119</v>
      </c>
      <c r="C14" s="4" t="s">
        <v>30</v>
      </c>
      <c r="D14" s="4" t="s">
        <v>124</v>
      </c>
      <c r="E14" s="4" t="s">
        <v>152</v>
      </c>
      <c r="F14" s="5" t="n">
        <v>1</v>
      </c>
      <c r="G14" s="4" t="s">
        <v>33</v>
      </c>
      <c r="H14" s="4"/>
      <c r="I14" s="4" t="s">
        <v>27</v>
      </c>
      <c r="J14" s="6" t="n">
        <v>45317</v>
      </c>
      <c r="K14" s="4"/>
    </row>
    <row r="15" customFormat="false" ht="15" hidden="false" customHeight="false" outlineLevel="0" collapsed="false">
      <c r="A15" s="4" t="s">
        <v>153</v>
      </c>
      <c r="B15" s="4" t="s">
        <v>119</v>
      </c>
      <c r="C15" s="4" t="s">
        <v>120</v>
      </c>
      <c r="D15" s="4" t="s">
        <v>121</v>
      </c>
      <c r="E15" s="4" t="s">
        <v>154</v>
      </c>
      <c r="F15" s="5" t="n">
        <v>1</v>
      </c>
      <c r="G15" s="4" t="s">
        <v>155</v>
      </c>
      <c r="H15" s="4"/>
      <c r="I15" s="4" t="s">
        <v>27</v>
      </c>
      <c r="J15" s="6" t="n">
        <v>45346</v>
      </c>
      <c r="K15" s="4" t="s">
        <v>156</v>
      </c>
    </row>
  </sheetData>
  <autoFilter ref="A1:K15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157</v>
      </c>
      <c r="B2" s="4" t="s">
        <v>158</v>
      </c>
      <c r="C2" s="4" t="s">
        <v>104</v>
      </c>
      <c r="D2" s="4" t="s">
        <v>159</v>
      </c>
      <c r="E2" s="4" t="s">
        <v>160</v>
      </c>
      <c r="F2" s="5" t="n">
        <v>1</v>
      </c>
      <c r="G2" s="4" t="s">
        <v>38</v>
      </c>
      <c r="H2" s="4" t="s">
        <v>53</v>
      </c>
      <c r="I2" s="4" t="s">
        <v>40</v>
      </c>
      <c r="J2" s="6" t="n">
        <v>45931</v>
      </c>
      <c r="K2" s="4"/>
    </row>
    <row r="3" customFormat="false" ht="15" hidden="false" customHeight="false" outlineLevel="0" collapsed="false">
      <c r="A3" s="4" t="s">
        <v>161</v>
      </c>
      <c r="B3" s="4" t="s">
        <v>158</v>
      </c>
      <c r="C3" s="4" t="s">
        <v>104</v>
      </c>
      <c r="D3" s="4" t="s">
        <v>159</v>
      </c>
      <c r="E3" s="4" t="s">
        <v>162</v>
      </c>
      <c r="F3" s="5" t="n">
        <v>1</v>
      </c>
      <c r="G3" s="4" t="s">
        <v>33</v>
      </c>
      <c r="H3" s="4"/>
      <c r="I3" s="4" t="s">
        <v>27</v>
      </c>
      <c r="J3" s="6" t="n">
        <v>44665</v>
      </c>
      <c r="K3" s="4"/>
    </row>
    <row r="4" customFormat="false" ht="15" hidden="false" customHeight="false" outlineLevel="0" collapsed="false">
      <c r="A4" s="4" t="s">
        <v>163</v>
      </c>
      <c r="B4" s="4" t="s">
        <v>158</v>
      </c>
      <c r="C4" s="4" t="s">
        <v>104</v>
      </c>
      <c r="D4" s="4" t="s">
        <v>159</v>
      </c>
      <c r="E4" s="4" t="s">
        <v>164</v>
      </c>
      <c r="F4" s="5" t="n">
        <v>1</v>
      </c>
      <c r="G4" s="4" t="s">
        <v>38</v>
      </c>
      <c r="H4" s="4" t="s">
        <v>117</v>
      </c>
      <c r="I4" s="4" t="s">
        <v>46</v>
      </c>
      <c r="J4" s="6" t="n">
        <v>45223</v>
      </c>
      <c r="K4" s="4"/>
    </row>
    <row r="5" customFormat="false" ht="15" hidden="false" customHeight="false" outlineLevel="0" collapsed="false">
      <c r="A5" s="4" t="s">
        <v>165</v>
      </c>
      <c r="B5" s="4" t="s">
        <v>158</v>
      </c>
      <c r="C5" s="4" t="s">
        <v>104</v>
      </c>
      <c r="D5" s="4" t="s">
        <v>159</v>
      </c>
      <c r="E5" s="4" t="s">
        <v>166</v>
      </c>
      <c r="F5" s="5" t="n">
        <v>1</v>
      </c>
      <c r="G5" s="4" t="s">
        <v>38</v>
      </c>
      <c r="H5" s="4" t="s">
        <v>53</v>
      </c>
      <c r="I5" s="4" t="s">
        <v>76</v>
      </c>
      <c r="J5" s="6" t="n">
        <v>45911</v>
      </c>
      <c r="K5" s="4"/>
    </row>
    <row r="6" customFormat="false" ht="15" hidden="false" customHeight="false" outlineLevel="0" collapsed="false">
      <c r="A6" s="4" t="s">
        <v>167</v>
      </c>
      <c r="B6" s="4" t="s">
        <v>158</v>
      </c>
      <c r="C6" s="4" t="s">
        <v>104</v>
      </c>
      <c r="D6" s="4" t="s">
        <v>159</v>
      </c>
      <c r="E6" s="4" t="s">
        <v>168</v>
      </c>
      <c r="F6" s="5" t="n">
        <v>1</v>
      </c>
      <c r="G6" s="4" t="s">
        <v>26</v>
      </c>
      <c r="H6" s="4"/>
      <c r="I6" s="4" t="s">
        <v>27</v>
      </c>
      <c r="J6" s="6" t="n">
        <v>44707</v>
      </c>
      <c r="K6" s="4" t="s">
        <v>156</v>
      </c>
    </row>
    <row r="7" customFormat="false" ht="15" hidden="false" customHeight="false" outlineLevel="0" collapsed="false">
      <c r="A7" s="4" t="s">
        <v>169</v>
      </c>
      <c r="B7" s="4" t="s">
        <v>158</v>
      </c>
      <c r="C7" s="4" t="s">
        <v>104</v>
      </c>
      <c r="D7" s="4" t="s">
        <v>170</v>
      </c>
      <c r="E7" s="4" t="s">
        <v>171</v>
      </c>
      <c r="F7" s="5" t="n">
        <v>1</v>
      </c>
      <c r="G7" s="4" t="s">
        <v>38</v>
      </c>
      <c r="H7" s="4" t="s">
        <v>45</v>
      </c>
      <c r="I7" s="4" t="s">
        <v>76</v>
      </c>
      <c r="J7" s="6" t="n">
        <v>45244</v>
      </c>
      <c r="K7" s="4"/>
    </row>
  </sheetData>
  <autoFilter ref="A1:K7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172</v>
      </c>
      <c r="B2" s="4" t="s">
        <v>173</v>
      </c>
      <c r="C2" s="4" t="s">
        <v>120</v>
      </c>
      <c r="D2" s="4" t="s">
        <v>174</v>
      </c>
      <c r="E2" s="4" t="s">
        <v>175</v>
      </c>
      <c r="F2" s="5" t="n">
        <v>1</v>
      </c>
      <c r="G2" s="4" t="s">
        <v>26</v>
      </c>
      <c r="H2" s="4"/>
      <c r="I2" s="4" t="s">
        <v>27</v>
      </c>
      <c r="J2" s="6" t="n">
        <v>46118</v>
      </c>
      <c r="K2" s="4" t="s">
        <v>136</v>
      </c>
    </row>
    <row r="3" customFormat="false" ht="15" hidden="false" customHeight="false" outlineLevel="0" collapsed="false">
      <c r="A3" s="4" t="s">
        <v>176</v>
      </c>
      <c r="B3" s="4" t="s">
        <v>173</v>
      </c>
      <c r="C3" s="4" t="s">
        <v>120</v>
      </c>
      <c r="D3" s="4" t="s">
        <v>174</v>
      </c>
      <c r="E3" s="4" t="s">
        <v>177</v>
      </c>
      <c r="F3" s="5" t="n">
        <v>1</v>
      </c>
      <c r="G3" s="4" t="s">
        <v>38</v>
      </c>
      <c r="H3" s="4" t="s">
        <v>62</v>
      </c>
      <c r="I3" s="4" t="s">
        <v>46</v>
      </c>
      <c r="J3" s="6" t="n">
        <v>44501</v>
      </c>
      <c r="K3" s="4"/>
    </row>
    <row r="4" customFormat="false" ht="15" hidden="false" customHeight="false" outlineLevel="0" collapsed="false">
      <c r="A4" s="4" t="s">
        <v>178</v>
      </c>
      <c r="B4" s="4" t="s">
        <v>173</v>
      </c>
      <c r="C4" s="4" t="s">
        <v>23</v>
      </c>
      <c r="D4" s="4" t="s">
        <v>179</v>
      </c>
      <c r="E4" s="4" t="s">
        <v>180</v>
      </c>
      <c r="F4" s="5" t="n">
        <v>1</v>
      </c>
      <c r="G4" s="4" t="s">
        <v>33</v>
      </c>
      <c r="H4" s="4"/>
      <c r="I4" s="4" t="s">
        <v>27</v>
      </c>
      <c r="J4" s="6" t="n">
        <v>45235</v>
      </c>
      <c r="K4" s="4"/>
    </row>
    <row r="5" customFormat="false" ht="15" hidden="false" customHeight="false" outlineLevel="0" collapsed="false">
      <c r="A5" s="4" t="s">
        <v>181</v>
      </c>
      <c r="B5" s="4" t="s">
        <v>173</v>
      </c>
      <c r="C5" s="4" t="s">
        <v>30</v>
      </c>
      <c r="D5" s="4" t="s">
        <v>182</v>
      </c>
      <c r="E5" s="4" t="s">
        <v>183</v>
      </c>
      <c r="F5" s="5" t="n">
        <v>1</v>
      </c>
      <c r="G5" s="4" t="s">
        <v>38</v>
      </c>
      <c r="H5" s="4" t="s">
        <v>62</v>
      </c>
      <c r="I5" s="4" t="s">
        <v>76</v>
      </c>
      <c r="J5" s="6" t="n">
        <v>45896</v>
      </c>
      <c r="K5" s="4"/>
    </row>
    <row r="6" customFormat="false" ht="15" hidden="false" customHeight="false" outlineLevel="0" collapsed="false">
      <c r="A6" s="4" t="s">
        <v>184</v>
      </c>
      <c r="B6" s="4" t="s">
        <v>173</v>
      </c>
      <c r="C6" s="4" t="s">
        <v>120</v>
      </c>
      <c r="D6" s="4" t="s">
        <v>174</v>
      </c>
      <c r="E6" s="4" t="s">
        <v>185</v>
      </c>
      <c r="F6" s="5" t="n">
        <v>1</v>
      </c>
      <c r="G6" s="4" t="s">
        <v>38</v>
      </c>
      <c r="H6" s="4" t="s">
        <v>100</v>
      </c>
      <c r="I6" s="4" t="s">
        <v>46</v>
      </c>
      <c r="J6" s="6" t="n">
        <v>44604</v>
      </c>
      <c r="K6" s="4"/>
    </row>
    <row r="7" customFormat="false" ht="15" hidden="false" customHeight="false" outlineLevel="0" collapsed="false">
      <c r="A7" s="4" t="s">
        <v>186</v>
      </c>
      <c r="B7" s="4" t="s">
        <v>173</v>
      </c>
      <c r="C7" s="4" t="s">
        <v>30</v>
      </c>
      <c r="D7" s="4" t="s">
        <v>182</v>
      </c>
      <c r="E7" s="4" t="s">
        <v>187</v>
      </c>
      <c r="F7" s="5" t="n">
        <v>1</v>
      </c>
      <c r="G7" s="4" t="s">
        <v>38</v>
      </c>
      <c r="H7" s="4" t="s">
        <v>53</v>
      </c>
      <c r="I7" s="4" t="s">
        <v>70</v>
      </c>
      <c r="J7" s="6" t="n">
        <v>44555</v>
      </c>
      <c r="K7" s="4"/>
    </row>
    <row r="8" customFormat="false" ht="15" hidden="false" customHeight="false" outlineLevel="0" collapsed="false">
      <c r="A8" s="4" t="s">
        <v>188</v>
      </c>
      <c r="B8" s="4" t="s">
        <v>173</v>
      </c>
      <c r="C8" s="4" t="s">
        <v>120</v>
      </c>
      <c r="D8" s="4" t="s">
        <v>174</v>
      </c>
      <c r="E8" s="4" t="s">
        <v>189</v>
      </c>
      <c r="F8" s="5" t="n">
        <v>1</v>
      </c>
      <c r="G8" s="4" t="s">
        <v>33</v>
      </c>
      <c r="H8" s="4"/>
      <c r="I8" s="4" t="s">
        <v>27</v>
      </c>
      <c r="J8" s="6" t="n">
        <v>45602</v>
      </c>
      <c r="K8" s="4"/>
    </row>
    <row r="9" customFormat="false" ht="15" hidden="false" customHeight="false" outlineLevel="0" collapsed="false">
      <c r="A9" s="4" t="s">
        <v>190</v>
      </c>
      <c r="B9" s="4" t="s">
        <v>173</v>
      </c>
      <c r="C9" s="4" t="s">
        <v>23</v>
      </c>
      <c r="D9" s="4" t="s">
        <v>179</v>
      </c>
      <c r="E9" s="4" t="s">
        <v>191</v>
      </c>
      <c r="F9" s="5" t="n">
        <v>1</v>
      </c>
      <c r="G9" s="4" t="s">
        <v>38</v>
      </c>
      <c r="H9" s="4" t="s">
        <v>39</v>
      </c>
      <c r="I9" s="4" t="s">
        <v>40</v>
      </c>
      <c r="J9" s="6" t="n">
        <v>44285</v>
      </c>
      <c r="K9" s="4"/>
    </row>
    <row r="10" customFormat="false" ht="15" hidden="false" customHeight="false" outlineLevel="0" collapsed="false">
      <c r="A10" s="4" t="s">
        <v>192</v>
      </c>
      <c r="B10" s="4" t="s">
        <v>173</v>
      </c>
      <c r="C10" s="4" t="s">
        <v>120</v>
      </c>
      <c r="D10" s="4" t="s">
        <v>174</v>
      </c>
      <c r="E10" s="4" t="s">
        <v>193</v>
      </c>
      <c r="F10" s="5" t="n">
        <v>1</v>
      </c>
      <c r="G10" s="4" t="s">
        <v>38</v>
      </c>
      <c r="H10" s="4" t="s">
        <v>39</v>
      </c>
      <c r="I10" s="4" t="s">
        <v>40</v>
      </c>
      <c r="J10" s="6" t="n">
        <v>46041</v>
      </c>
      <c r="K10" s="4"/>
    </row>
  </sheetData>
  <autoFilter ref="A1:K10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194</v>
      </c>
      <c r="B2" s="4" t="s">
        <v>195</v>
      </c>
      <c r="C2" s="4" t="s">
        <v>196</v>
      </c>
      <c r="D2" s="4" t="s">
        <v>197</v>
      </c>
      <c r="E2" s="4"/>
      <c r="F2" s="5" t="n">
        <v>29</v>
      </c>
      <c r="G2" s="4" t="s">
        <v>38</v>
      </c>
      <c r="H2" s="4"/>
      <c r="I2" s="4" t="s">
        <v>40</v>
      </c>
      <c r="J2" s="6" t="n">
        <v>44960</v>
      </c>
      <c r="K2" s="4"/>
    </row>
    <row r="3" customFormat="false" ht="15" hidden="false" customHeight="false" outlineLevel="0" collapsed="false">
      <c r="A3" s="4" t="s">
        <v>198</v>
      </c>
      <c r="B3" s="4" t="s">
        <v>195</v>
      </c>
      <c r="C3" s="4" t="s">
        <v>196</v>
      </c>
      <c r="D3" s="4" t="s">
        <v>197</v>
      </c>
      <c r="E3" s="4"/>
      <c r="F3" s="5" t="n">
        <v>2</v>
      </c>
      <c r="G3" s="4" t="s">
        <v>33</v>
      </c>
      <c r="H3" s="4"/>
      <c r="I3" s="4" t="s">
        <v>27</v>
      </c>
      <c r="J3" s="6" t="n">
        <v>44960</v>
      </c>
      <c r="K3" s="4"/>
    </row>
    <row r="4" customFormat="false" ht="15" hidden="false" customHeight="false" outlineLevel="0" collapsed="false">
      <c r="A4" s="4" t="s">
        <v>199</v>
      </c>
      <c r="B4" s="4" t="s">
        <v>195</v>
      </c>
      <c r="C4" s="4" t="s">
        <v>196</v>
      </c>
      <c r="D4" s="4" t="s">
        <v>200</v>
      </c>
      <c r="E4" s="4"/>
      <c r="F4" s="5" t="n">
        <v>27</v>
      </c>
      <c r="G4" s="4" t="s">
        <v>38</v>
      </c>
      <c r="H4" s="4"/>
      <c r="I4" s="4" t="s">
        <v>59</v>
      </c>
      <c r="J4" s="6" t="n">
        <v>45054</v>
      </c>
      <c r="K4" s="4"/>
    </row>
    <row r="5" customFormat="false" ht="15" hidden="false" customHeight="false" outlineLevel="0" collapsed="false">
      <c r="A5" s="4" t="s">
        <v>201</v>
      </c>
      <c r="B5" s="4" t="s">
        <v>195</v>
      </c>
      <c r="C5" s="4" t="s">
        <v>196</v>
      </c>
      <c r="D5" s="4" t="s">
        <v>200</v>
      </c>
      <c r="E5" s="4"/>
      <c r="F5" s="5" t="n">
        <v>9</v>
      </c>
      <c r="G5" s="4" t="s">
        <v>33</v>
      </c>
      <c r="H5" s="4"/>
      <c r="I5" s="4" t="s">
        <v>27</v>
      </c>
      <c r="J5" s="6" t="n">
        <v>45054</v>
      </c>
      <c r="K5" s="4"/>
    </row>
    <row r="6" customFormat="false" ht="15" hidden="false" customHeight="false" outlineLevel="0" collapsed="false">
      <c r="A6" s="4" t="s">
        <v>202</v>
      </c>
      <c r="B6" s="4" t="s">
        <v>203</v>
      </c>
      <c r="C6" s="4" t="s">
        <v>204</v>
      </c>
      <c r="D6" s="4" t="s">
        <v>205</v>
      </c>
      <c r="E6" s="4"/>
      <c r="F6" s="5" t="n">
        <v>4</v>
      </c>
      <c r="G6" s="4" t="s">
        <v>38</v>
      </c>
      <c r="H6" s="4"/>
      <c r="I6" s="4" t="s">
        <v>76</v>
      </c>
      <c r="J6" s="6" t="n">
        <v>44830</v>
      </c>
      <c r="K6" s="4"/>
    </row>
    <row r="7" customFormat="false" ht="15" hidden="false" customHeight="false" outlineLevel="0" collapsed="false">
      <c r="A7" s="4" t="s">
        <v>206</v>
      </c>
      <c r="B7" s="4" t="s">
        <v>203</v>
      </c>
      <c r="C7" s="4" t="s">
        <v>204</v>
      </c>
      <c r="D7" s="4" t="s">
        <v>205</v>
      </c>
      <c r="E7" s="4"/>
      <c r="F7" s="5" t="n">
        <v>12</v>
      </c>
      <c r="G7" s="4" t="s">
        <v>33</v>
      </c>
      <c r="H7" s="4"/>
      <c r="I7" s="4" t="s">
        <v>27</v>
      </c>
      <c r="J7" s="6" t="n">
        <v>44830</v>
      </c>
      <c r="K7" s="4"/>
    </row>
    <row r="8" customFormat="false" ht="15" hidden="false" customHeight="false" outlineLevel="0" collapsed="false">
      <c r="A8" s="4" t="s">
        <v>207</v>
      </c>
      <c r="B8" s="4" t="s">
        <v>203</v>
      </c>
      <c r="C8" s="4" t="s">
        <v>204</v>
      </c>
      <c r="D8" s="4" t="s">
        <v>205</v>
      </c>
      <c r="E8" s="4"/>
      <c r="F8" s="5" t="n">
        <v>7</v>
      </c>
      <c r="G8" s="4" t="s">
        <v>155</v>
      </c>
      <c r="H8" s="4"/>
      <c r="I8" s="4" t="s">
        <v>27</v>
      </c>
      <c r="J8" s="6" t="n">
        <v>44830</v>
      </c>
      <c r="K8" s="4" t="s">
        <v>148</v>
      </c>
    </row>
    <row r="9" customFormat="false" ht="15" hidden="false" customHeight="false" outlineLevel="0" collapsed="false">
      <c r="A9" s="4" t="s">
        <v>208</v>
      </c>
      <c r="B9" s="4" t="s">
        <v>209</v>
      </c>
      <c r="C9" s="4" t="s">
        <v>210</v>
      </c>
      <c r="D9" s="4" t="s">
        <v>211</v>
      </c>
      <c r="E9" s="4"/>
      <c r="F9" s="5" t="n">
        <v>7</v>
      </c>
      <c r="G9" s="4" t="s">
        <v>38</v>
      </c>
      <c r="H9" s="4"/>
      <c r="I9" s="4" t="s">
        <v>59</v>
      </c>
      <c r="J9" s="6" t="n">
        <v>45589</v>
      </c>
      <c r="K9" s="4"/>
    </row>
    <row r="10" customFormat="false" ht="15" hidden="false" customHeight="false" outlineLevel="0" collapsed="false">
      <c r="A10" s="4" t="s">
        <v>212</v>
      </c>
      <c r="B10" s="4" t="s">
        <v>209</v>
      </c>
      <c r="C10" s="4" t="s">
        <v>210</v>
      </c>
      <c r="D10" s="4" t="s">
        <v>211</v>
      </c>
      <c r="E10" s="4"/>
      <c r="F10" s="5" t="n">
        <v>5</v>
      </c>
      <c r="G10" s="4" t="s">
        <v>33</v>
      </c>
      <c r="H10" s="4"/>
      <c r="I10" s="4" t="s">
        <v>27</v>
      </c>
      <c r="J10" s="6" t="n">
        <v>45589</v>
      </c>
      <c r="K10" s="4"/>
    </row>
    <row r="11" customFormat="false" ht="15" hidden="false" customHeight="false" outlineLevel="0" collapsed="false">
      <c r="A11" s="4" t="s">
        <v>213</v>
      </c>
      <c r="B11" s="4" t="s">
        <v>209</v>
      </c>
      <c r="C11" s="4" t="s">
        <v>210</v>
      </c>
      <c r="D11" s="4" t="s">
        <v>211</v>
      </c>
      <c r="E11" s="4"/>
      <c r="F11" s="5" t="n">
        <v>1</v>
      </c>
      <c r="G11" s="4" t="s">
        <v>155</v>
      </c>
      <c r="H11" s="4"/>
      <c r="I11" s="4" t="s">
        <v>27</v>
      </c>
      <c r="J11" s="6" t="n">
        <v>45589</v>
      </c>
      <c r="K11" s="4" t="s">
        <v>131</v>
      </c>
    </row>
    <row r="12" customFormat="false" ht="15" hidden="false" customHeight="false" outlineLevel="0" collapsed="false">
      <c r="A12" s="4" t="s">
        <v>214</v>
      </c>
      <c r="B12" s="4" t="s">
        <v>209</v>
      </c>
      <c r="C12" s="4" t="s">
        <v>210</v>
      </c>
      <c r="D12" s="4" t="s">
        <v>211</v>
      </c>
      <c r="E12" s="4"/>
      <c r="F12" s="5" t="n">
        <v>4</v>
      </c>
      <c r="G12" s="4" t="s">
        <v>26</v>
      </c>
      <c r="H12" s="4"/>
      <c r="I12" s="4" t="s">
        <v>27</v>
      </c>
      <c r="J12" s="6" t="n">
        <v>45589</v>
      </c>
      <c r="K12" s="4" t="s">
        <v>136</v>
      </c>
    </row>
    <row r="13" customFormat="false" ht="15" hidden="false" customHeight="false" outlineLevel="0" collapsed="false">
      <c r="A13" s="4" t="s">
        <v>215</v>
      </c>
      <c r="B13" s="4" t="s">
        <v>216</v>
      </c>
      <c r="C13" s="4" t="s">
        <v>217</v>
      </c>
      <c r="D13" s="4" t="s">
        <v>218</v>
      </c>
      <c r="E13" s="4"/>
      <c r="F13" s="5" t="n">
        <v>28</v>
      </c>
      <c r="G13" s="4" t="s">
        <v>38</v>
      </c>
      <c r="H13" s="4"/>
      <c r="I13" s="4" t="s">
        <v>40</v>
      </c>
      <c r="J13" s="6" t="n">
        <v>46151</v>
      </c>
      <c r="K13" s="4"/>
    </row>
    <row r="14" customFormat="false" ht="15" hidden="false" customHeight="false" outlineLevel="0" collapsed="false">
      <c r="A14" s="4" t="s">
        <v>219</v>
      </c>
      <c r="B14" s="4" t="s">
        <v>216</v>
      </c>
      <c r="C14" s="4" t="s">
        <v>217</v>
      </c>
      <c r="D14" s="4" t="s">
        <v>218</v>
      </c>
      <c r="E14" s="4"/>
      <c r="F14" s="5" t="n">
        <v>6</v>
      </c>
      <c r="G14" s="4" t="s">
        <v>33</v>
      </c>
      <c r="H14" s="4"/>
      <c r="I14" s="4" t="s">
        <v>27</v>
      </c>
      <c r="J14" s="6" t="n">
        <v>46151</v>
      </c>
      <c r="K14" s="4"/>
    </row>
    <row r="15" customFormat="false" ht="15" hidden="false" customHeight="false" outlineLevel="0" collapsed="false">
      <c r="A15" s="4" t="s">
        <v>220</v>
      </c>
      <c r="B15" s="4" t="s">
        <v>216</v>
      </c>
      <c r="C15" s="4" t="s">
        <v>217</v>
      </c>
      <c r="D15" s="4" t="s">
        <v>218</v>
      </c>
      <c r="E15" s="4"/>
      <c r="F15" s="5" t="n">
        <v>1</v>
      </c>
      <c r="G15" s="4" t="s">
        <v>26</v>
      </c>
      <c r="H15" s="4"/>
      <c r="I15" s="4" t="s">
        <v>27</v>
      </c>
      <c r="J15" s="6" t="n">
        <v>46151</v>
      </c>
      <c r="K15" s="4" t="s">
        <v>148</v>
      </c>
    </row>
  </sheetData>
  <autoFilter ref="A1:K15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221</v>
      </c>
      <c r="B2" s="4" t="s">
        <v>222</v>
      </c>
      <c r="C2" s="4" t="s">
        <v>210</v>
      </c>
      <c r="D2" s="4" t="s">
        <v>223</v>
      </c>
      <c r="E2" s="4"/>
      <c r="F2" s="5" t="n">
        <v>12</v>
      </c>
      <c r="G2" s="4" t="s">
        <v>38</v>
      </c>
      <c r="H2" s="4"/>
      <c r="I2" s="4" t="s">
        <v>59</v>
      </c>
      <c r="J2" s="6" t="n">
        <v>44688</v>
      </c>
      <c r="K2" s="4"/>
    </row>
    <row r="3" customFormat="false" ht="15" hidden="false" customHeight="false" outlineLevel="0" collapsed="false">
      <c r="A3" s="4" t="s">
        <v>224</v>
      </c>
      <c r="B3" s="4" t="s">
        <v>222</v>
      </c>
      <c r="C3" s="4" t="s">
        <v>210</v>
      </c>
      <c r="D3" s="4" t="s">
        <v>223</v>
      </c>
      <c r="E3" s="4"/>
      <c r="F3" s="5" t="n">
        <v>13</v>
      </c>
      <c r="G3" s="4" t="s">
        <v>33</v>
      </c>
      <c r="H3" s="4"/>
      <c r="I3" s="4" t="s">
        <v>27</v>
      </c>
      <c r="J3" s="6" t="n">
        <v>44688</v>
      </c>
      <c r="K3" s="4"/>
    </row>
    <row r="4" customFormat="false" ht="15" hidden="false" customHeight="false" outlineLevel="0" collapsed="false">
      <c r="A4" s="4" t="s">
        <v>225</v>
      </c>
      <c r="B4" s="4" t="s">
        <v>222</v>
      </c>
      <c r="C4" s="4" t="s">
        <v>210</v>
      </c>
      <c r="D4" s="4" t="s">
        <v>223</v>
      </c>
      <c r="E4" s="4"/>
      <c r="F4" s="5" t="n">
        <v>1</v>
      </c>
      <c r="G4" s="4" t="s">
        <v>155</v>
      </c>
      <c r="H4" s="4"/>
      <c r="I4" s="4" t="s">
        <v>27</v>
      </c>
      <c r="J4" s="6" t="n">
        <v>44688</v>
      </c>
      <c r="K4" s="4" t="s">
        <v>148</v>
      </c>
    </row>
    <row r="5" customFormat="false" ht="15" hidden="false" customHeight="false" outlineLevel="0" collapsed="false">
      <c r="A5" s="4" t="s">
        <v>226</v>
      </c>
      <c r="B5" s="4" t="s">
        <v>227</v>
      </c>
      <c r="C5" s="4" t="s">
        <v>204</v>
      </c>
      <c r="D5" s="4" t="s">
        <v>228</v>
      </c>
      <c r="E5" s="4"/>
      <c r="F5" s="5" t="n">
        <v>10</v>
      </c>
      <c r="G5" s="4" t="s">
        <v>38</v>
      </c>
      <c r="H5" s="4"/>
      <c r="I5" s="4" t="s">
        <v>46</v>
      </c>
      <c r="J5" s="6" t="n">
        <v>44953</v>
      </c>
      <c r="K5" s="4"/>
    </row>
    <row r="6" customFormat="false" ht="15" hidden="false" customHeight="false" outlineLevel="0" collapsed="false">
      <c r="A6" s="4" t="s">
        <v>229</v>
      </c>
      <c r="B6" s="4" t="s">
        <v>227</v>
      </c>
      <c r="C6" s="4" t="s">
        <v>204</v>
      </c>
      <c r="D6" s="4" t="s">
        <v>228</v>
      </c>
      <c r="E6" s="4"/>
      <c r="F6" s="5" t="n">
        <v>4</v>
      </c>
      <c r="G6" s="4" t="s">
        <v>33</v>
      </c>
      <c r="H6" s="4"/>
      <c r="I6" s="4" t="s">
        <v>27</v>
      </c>
      <c r="J6" s="6" t="n">
        <v>44953</v>
      </c>
      <c r="K6" s="4"/>
    </row>
    <row r="7" customFormat="false" ht="15" hidden="false" customHeight="false" outlineLevel="0" collapsed="false">
      <c r="A7" s="4" t="s">
        <v>230</v>
      </c>
      <c r="B7" s="4" t="s">
        <v>227</v>
      </c>
      <c r="C7" s="4" t="s">
        <v>204</v>
      </c>
      <c r="D7" s="4" t="s">
        <v>228</v>
      </c>
      <c r="E7" s="4"/>
      <c r="F7" s="5" t="n">
        <v>5</v>
      </c>
      <c r="G7" s="4" t="s">
        <v>155</v>
      </c>
      <c r="H7" s="4"/>
      <c r="I7" s="4" t="s">
        <v>27</v>
      </c>
      <c r="J7" s="6" t="n">
        <v>44953</v>
      </c>
      <c r="K7" s="4" t="s">
        <v>136</v>
      </c>
    </row>
    <row r="8" customFormat="false" ht="15" hidden="false" customHeight="false" outlineLevel="0" collapsed="false">
      <c r="A8" s="4" t="s">
        <v>231</v>
      </c>
      <c r="B8" s="4" t="s">
        <v>227</v>
      </c>
      <c r="C8" s="4" t="s">
        <v>204</v>
      </c>
      <c r="D8" s="4" t="s">
        <v>228</v>
      </c>
      <c r="E8" s="4"/>
      <c r="F8" s="5" t="n">
        <v>1</v>
      </c>
      <c r="G8" s="4" t="s">
        <v>26</v>
      </c>
      <c r="H8" s="4"/>
      <c r="I8" s="4" t="s">
        <v>27</v>
      </c>
      <c r="J8" s="6" t="n">
        <v>44953</v>
      </c>
      <c r="K8" s="4" t="s">
        <v>131</v>
      </c>
    </row>
    <row r="9" customFormat="false" ht="15" hidden="false" customHeight="false" outlineLevel="0" collapsed="false">
      <c r="A9" s="4" t="s">
        <v>232</v>
      </c>
      <c r="B9" s="4" t="s">
        <v>233</v>
      </c>
      <c r="C9" s="4" t="s">
        <v>234</v>
      </c>
      <c r="D9" s="4" t="s">
        <v>235</v>
      </c>
      <c r="E9" s="4"/>
      <c r="F9" s="5" t="n">
        <v>21</v>
      </c>
      <c r="G9" s="4" t="s">
        <v>38</v>
      </c>
      <c r="H9" s="4"/>
      <c r="I9" s="4" t="s">
        <v>59</v>
      </c>
      <c r="J9" s="6" t="n">
        <v>45228</v>
      </c>
      <c r="K9" s="4"/>
    </row>
    <row r="10" customFormat="false" ht="15" hidden="false" customHeight="false" outlineLevel="0" collapsed="false">
      <c r="A10" s="4" t="s">
        <v>236</v>
      </c>
      <c r="B10" s="4" t="s">
        <v>233</v>
      </c>
      <c r="C10" s="4" t="s">
        <v>234</v>
      </c>
      <c r="D10" s="4" t="s">
        <v>235</v>
      </c>
      <c r="E10" s="4"/>
      <c r="F10" s="5" t="n">
        <v>15</v>
      </c>
      <c r="G10" s="4" t="s">
        <v>33</v>
      </c>
      <c r="H10" s="4"/>
      <c r="I10" s="4" t="s">
        <v>27</v>
      </c>
      <c r="J10" s="6" t="n">
        <v>45228</v>
      </c>
      <c r="K10" s="4"/>
    </row>
    <row r="11" customFormat="false" ht="15" hidden="false" customHeight="false" outlineLevel="0" collapsed="false">
      <c r="A11" s="4" t="s">
        <v>237</v>
      </c>
      <c r="B11" s="4" t="s">
        <v>233</v>
      </c>
      <c r="C11" s="4" t="s">
        <v>234</v>
      </c>
      <c r="D11" s="4" t="s">
        <v>235</v>
      </c>
      <c r="E11" s="4"/>
      <c r="F11" s="5" t="n">
        <v>6</v>
      </c>
      <c r="G11" s="4" t="s">
        <v>155</v>
      </c>
      <c r="H11" s="4"/>
      <c r="I11" s="4" t="s">
        <v>27</v>
      </c>
      <c r="J11" s="6" t="n">
        <v>45228</v>
      </c>
      <c r="K11" s="4" t="s">
        <v>238</v>
      </c>
    </row>
    <row r="12" customFormat="false" ht="15" hidden="false" customHeight="false" outlineLevel="0" collapsed="false">
      <c r="A12" s="4" t="s">
        <v>239</v>
      </c>
      <c r="B12" s="4" t="s">
        <v>233</v>
      </c>
      <c r="C12" s="4" t="s">
        <v>234</v>
      </c>
      <c r="D12" s="4" t="s">
        <v>235</v>
      </c>
      <c r="E12" s="4"/>
      <c r="F12" s="5" t="n">
        <v>4</v>
      </c>
      <c r="G12" s="4" t="s">
        <v>26</v>
      </c>
      <c r="H12" s="4"/>
      <c r="I12" s="4" t="s">
        <v>27</v>
      </c>
      <c r="J12" s="6" t="n">
        <v>45228</v>
      </c>
      <c r="K12" s="4" t="s">
        <v>131</v>
      </c>
    </row>
    <row r="13" customFormat="false" ht="15" hidden="false" customHeight="false" outlineLevel="0" collapsed="false">
      <c r="A13" s="4" t="s">
        <v>240</v>
      </c>
      <c r="B13" s="4" t="s">
        <v>241</v>
      </c>
      <c r="C13" s="4" t="s">
        <v>234</v>
      </c>
      <c r="D13" s="4" t="s">
        <v>242</v>
      </c>
      <c r="E13" s="4"/>
      <c r="F13" s="5" t="n">
        <v>9</v>
      </c>
      <c r="G13" s="4" t="s">
        <v>38</v>
      </c>
      <c r="H13" s="4"/>
      <c r="I13" s="4" t="s">
        <v>59</v>
      </c>
      <c r="J13" s="6" t="n">
        <v>45601</v>
      </c>
      <c r="K13" s="4"/>
    </row>
    <row r="14" customFormat="false" ht="15" hidden="false" customHeight="false" outlineLevel="0" collapsed="false">
      <c r="A14" s="4" t="s">
        <v>243</v>
      </c>
      <c r="B14" s="4" t="s">
        <v>241</v>
      </c>
      <c r="C14" s="4" t="s">
        <v>234</v>
      </c>
      <c r="D14" s="4" t="s">
        <v>242</v>
      </c>
      <c r="E14" s="4"/>
      <c r="F14" s="5" t="n">
        <v>7</v>
      </c>
      <c r="G14" s="4" t="s">
        <v>33</v>
      </c>
      <c r="H14" s="4"/>
      <c r="I14" s="4" t="s">
        <v>27</v>
      </c>
      <c r="J14" s="6" t="n">
        <v>45601</v>
      </c>
      <c r="K14" s="4"/>
    </row>
    <row r="15" customFormat="false" ht="15" hidden="false" customHeight="false" outlineLevel="0" collapsed="false">
      <c r="A15" s="4" t="s">
        <v>244</v>
      </c>
      <c r="B15" s="4" t="s">
        <v>241</v>
      </c>
      <c r="C15" s="4" t="s">
        <v>234</v>
      </c>
      <c r="D15" s="4" t="s">
        <v>242</v>
      </c>
      <c r="E15" s="4"/>
      <c r="F15" s="5" t="n">
        <v>2</v>
      </c>
      <c r="G15" s="4" t="s">
        <v>155</v>
      </c>
      <c r="H15" s="4"/>
      <c r="I15" s="4" t="s">
        <v>27</v>
      </c>
      <c r="J15" s="6" t="n">
        <v>45601</v>
      </c>
      <c r="K15" s="4" t="s">
        <v>131</v>
      </c>
    </row>
    <row r="16" customFormat="false" ht="15" hidden="false" customHeight="false" outlineLevel="0" collapsed="false">
      <c r="A16" s="4" t="s">
        <v>245</v>
      </c>
      <c r="B16" s="4" t="s">
        <v>246</v>
      </c>
      <c r="C16" s="4" t="s">
        <v>196</v>
      </c>
      <c r="D16" s="4" t="s">
        <v>247</v>
      </c>
      <c r="E16" s="4"/>
      <c r="F16" s="5" t="n">
        <v>14</v>
      </c>
      <c r="G16" s="4" t="s">
        <v>38</v>
      </c>
      <c r="H16" s="4"/>
      <c r="I16" s="4" t="s">
        <v>70</v>
      </c>
      <c r="J16" s="6" t="n">
        <v>44811</v>
      </c>
      <c r="K16" s="4"/>
    </row>
    <row r="17" customFormat="false" ht="15" hidden="false" customHeight="false" outlineLevel="0" collapsed="false">
      <c r="A17" s="4" t="s">
        <v>248</v>
      </c>
      <c r="B17" s="4" t="s">
        <v>246</v>
      </c>
      <c r="C17" s="4" t="s">
        <v>196</v>
      </c>
      <c r="D17" s="4" t="s">
        <v>247</v>
      </c>
      <c r="E17" s="4"/>
      <c r="F17" s="5" t="n">
        <v>8</v>
      </c>
      <c r="G17" s="4" t="s">
        <v>33</v>
      </c>
      <c r="H17" s="4"/>
      <c r="I17" s="4" t="s">
        <v>27</v>
      </c>
      <c r="J17" s="6" t="n">
        <v>44811</v>
      </c>
      <c r="K17" s="4"/>
    </row>
  </sheetData>
  <autoFilter ref="A1:K17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249</v>
      </c>
      <c r="B2" s="4" t="s">
        <v>250</v>
      </c>
      <c r="C2" s="4" t="s">
        <v>251</v>
      </c>
      <c r="D2" s="4" t="s">
        <v>252</v>
      </c>
      <c r="E2" s="4"/>
      <c r="F2" s="5" t="n">
        <v>5</v>
      </c>
      <c r="G2" s="4" t="s">
        <v>38</v>
      </c>
      <c r="H2" s="4"/>
      <c r="I2" s="4" t="s">
        <v>76</v>
      </c>
      <c r="J2" s="6" t="n">
        <v>44711</v>
      </c>
      <c r="K2" s="4"/>
    </row>
    <row r="3" customFormat="false" ht="15" hidden="false" customHeight="false" outlineLevel="0" collapsed="false">
      <c r="A3" s="4" t="s">
        <v>253</v>
      </c>
      <c r="B3" s="4" t="s">
        <v>250</v>
      </c>
      <c r="C3" s="4" t="s">
        <v>251</v>
      </c>
      <c r="D3" s="4" t="s">
        <v>252</v>
      </c>
      <c r="E3" s="4"/>
      <c r="F3" s="5" t="n">
        <v>2</v>
      </c>
      <c r="G3" s="4" t="s">
        <v>33</v>
      </c>
      <c r="H3" s="4"/>
      <c r="I3" s="4" t="s">
        <v>27</v>
      </c>
      <c r="J3" s="6" t="n">
        <v>44711</v>
      </c>
      <c r="K3" s="4"/>
    </row>
    <row r="4" customFormat="false" ht="15" hidden="false" customHeight="false" outlineLevel="0" collapsed="false">
      <c r="A4" s="4" t="s">
        <v>254</v>
      </c>
      <c r="B4" s="4" t="s">
        <v>250</v>
      </c>
      <c r="C4" s="4" t="s">
        <v>251</v>
      </c>
      <c r="D4" s="4" t="s">
        <v>252</v>
      </c>
      <c r="E4" s="4"/>
      <c r="F4" s="5" t="n">
        <v>1</v>
      </c>
      <c r="G4" s="4" t="s">
        <v>155</v>
      </c>
      <c r="H4" s="4"/>
      <c r="I4" s="4" t="s">
        <v>27</v>
      </c>
      <c r="J4" s="6" t="n">
        <v>44711</v>
      </c>
      <c r="K4" s="4" t="s">
        <v>156</v>
      </c>
    </row>
    <row r="5" customFormat="false" ht="15" hidden="false" customHeight="false" outlineLevel="0" collapsed="false">
      <c r="A5" s="4" t="s">
        <v>255</v>
      </c>
      <c r="B5" s="4" t="s">
        <v>250</v>
      </c>
      <c r="C5" s="4" t="s">
        <v>196</v>
      </c>
      <c r="D5" s="4" t="s">
        <v>256</v>
      </c>
      <c r="E5" s="4"/>
      <c r="F5" s="5" t="n">
        <v>9</v>
      </c>
      <c r="G5" s="4" t="s">
        <v>38</v>
      </c>
      <c r="H5" s="4"/>
      <c r="I5" s="4" t="s">
        <v>40</v>
      </c>
      <c r="J5" s="6" t="n">
        <v>44843</v>
      </c>
      <c r="K5" s="4"/>
    </row>
    <row r="6" customFormat="false" ht="15" hidden="false" customHeight="false" outlineLevel="0" collapsed="false">
      <c r="A6" s="4" t="s">
        <v>257</v>
      </c>
      <c r="B6" s="4" t="s">
        <v>250</v>
      </c>
      <c r="C6" s="4" t="s">
        <v>196</v>
      </c>
      <c r="D6" s="4" t="s">
        <v>256</v>
      </c>
      <c r="E6" s="4"/>
      <c r="F6" s="5" t="n">
        <v>2</v>
      </c>
      <c r="G6" s="4" t="s">
        <v>33</v>
      </c>
      <c r="H6" s="4"/>
      <c r="I6" s="4" t="s">
        <v>27</v>
      </c>
      <c r="J6" s="6" t="n">
        <v>44843</v>
      </c>
      <c r="K6" s="4"/>
    </row>
    <row r="7" customFormat="false" ht="15" hidden="false" customHeight="false" outlineLevel="0" collapsed="false">
      <c r="A7" s="4" t="s">
        <v>258</v>
      </c>
      <c r="B7" s="4" t="s">
        <v>250</v>
      </c>
      <c r="C7" s="4" t="s">
        <v>196</v>
      </c>
      <c r="D7" s="4" t="s">
        <v>256</v>
      </c>
      <c r="E7" s="4"/>
      <c r="F7" s="5" t="n">
        <v>1</v>
      </c>
      <c r="G7" s="4" t="s">
        <v>26</v>
      </c>
      <c r="H7" s="4"/>
      <c r="I7" s="4" t="s">
        <v>27</v>
      </c>
      <c r="J7" s="6" t="n">
        <v>44843</v>
      </c>
      <c r="K7" s="4" t="s">
        <v>259</v>
      </c>
    </row>
  </sheetData>
  <autoFilter ref="A1:K7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260</v>
      </c>
      <c r="B2" s="4" t="s">
        <v>261</v>
      </c>
      <c r="C2" s="4" t="s">
        <v>196</v>
      </c>
      <c r="D2" s="4" t="s">
        <v>262</v>
      </c>
      <c r="E2" s="4"/>
      <c r="F2" s="5" t="n">
        <v>9</v>
      </c>
      <c r="G2" s="4" t="s">
        <v>38</v>
      </c>
      <c r="H2" s="4"/>
      <c r="I2" s="4" t="s">
        <v>59</v>
      </c>
      <c r="J2" s="6" t="n">
        <v>46008</v>
      </c>
      <c r="K2" s="4"/>
    </row>
    <row r="3" customFormat="false" ht="15" hidden="false" customHeight="false" outlineLevel="0" collapsed="false">
      <c r="A3" s="4" t="s">
        <v>263</v>
      </c>
      <c r="B3" s="4" t="s">
        <v>261</v>
      </c>
      <c r="C3" s="4" t="s">
        <v>196</v>
      </c>
      <c r="D3" s="4" t="s">
        <v>262</v>
      </c>
      <c r="E3" s="4"/>
      <c r="F3" s="5" t="n">
        <v>6</v>
      </c>
      <c r="G3" s="4" t="s">
        <v>33</v>
      </c>
      <c r="H3" s="4"/>
      <c r="I3" s="4" t="s">
        <v>27</v>
      </c>
      <c r="J3" s="6" t="n">
        <v>46008</v>
      </c>
      <c r="K3" s="4"/>
    </row>
    <row r="4" customFormat="false" ht="15" hidden="false" customHeight="false" outlineLevel="0" collapsed="false">
      <c r="A4" s="4" t="s">
        <v>264</v>
      </c>
      <c r="B4" s="4" t="s">
        <v>261</v>
      </c>
      <c r="C4" s="4" t="s">
        <v>234</v>
      </c>
      <c r="D4" s="4" t="s">
        <v>265</v>
      </c>
      <c r="E4" s="4"/>
      <c r="F4" s="5" t="n">
        <v>4</v>
      </c>
      <c r="G4" s="4" t="s">
        <v>38</v>
      </c>
      <c r="H4" s="4"/>
      <c r="I4" s="4" t="s">
        <v>76</v>
      </c>
      <c r="J4" s="6" t="n">
        <v>45214</v>
      </c>
      <c r="K4" s="4"/>
    </row>
    <row r="5" customFormat="false" ht="15" hidden="false" customHeight="false" outlineLevel="0" collapsed="false">
      <c r="A5" s="4" t="s">
        <v>266</v>
      </c>
      <c r="B5" s="4" t="s">
        <v>261</v>
      </c>
      <c r="C5" s="4" t="s">
        <v>234</v>
      </c>
      <c r="D5" s="4" t="s">
        <v>265</v>
      </c>
      <c r="E5" s="4"/>
      <c r="F5" s="5" t="n">
        <v>2</v>
      </c>
      <c r="G5" s="4" t="s">
        <v>33</v>
      </c>
      <c r="H5" s="4"/>
      <c r="I5" s="4" t="s">
        <v>27</v>
      </c>
      <c r="J5" s="6" t="n">
        <v>45214</v>
      </c>
      <c r="K5" s="4"/>
    </row>
    <row r="6" customFormat="false" ht="15" hidden="false" customHeight="false" outlineLevel="0" collapsed="false">
      <c r="A6" s="4" t="s">
        <v>267</v>
      </c>
      <c r="B6" s="4" t="s">
        <v>261</v>
      </c>
      <c r="C6" s="4" t="s">
        <v>234</v>
      </c>
      <c r="D6" s="4" t="s">
        <v>265</v>
      </c>
      <c r="E6" s="4"/>
      <c r="F6" s="5" t="n">
        <v>3</v>
      </c>
      <c r="G6" s="4" t="s">
        <v>26</v>
      </c>
      <c r="H6" s="4"/>
      <c r="I6" s="4" t="s">
        <v>27</v>
      </c>
      <c r="J6" s="6" t="n">
        <v>45214</v>
      </c>
      <c r="K6" s="4" t="s">
        <v>136</v>
      </c>
    </row>
  </sheetData>
  <autoFilter ref="A1:K6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268</v>
      </c>
      <c r="B2" s="4" t="s">
        <v>269</v>
      </c>
      <c r="C2" s="4" t="s">
        <v>270</v>
      </c>
      <c r="D2" s="4" t="s">
        <v>271</v>
      </c>
      <c r="E2" s="4"/>
      <c r="F2" s="5" t="n">
        <v>7</v>
      </c>
      <c r="G2" s="4" t="s">
        <v>38</v>
      </c>
      <c r="H2" s="4"/>
      <c r="I2" s="4" t="s">
        <v>59</v>
      </c>
      <c r="J2" s="6" t="n">
        <v>45349</v>
      </c>
      <c r="K2" s="4"/>
    </row>
    <row r="3" customFormat="false" ht="15" hidden="false" customHeight="false" outlineLevel="0" collapsed="false">
      <c r="A3" s="4" t="s">
        <v>272</v>
      </c>
      <c r="B3" s="4" t="s">
        <v>269</v>
      </c>
      <c r="C3" s="4" t="s">
        <v>270</v>
      </c>
      <c r="D3" s="4" t="s">
        <v>271</v>
      </c>
      <c r="E3" s="4"/>
      <c r="F3" s="5" t="n">
        <v>8</v>
      </c>
      <c r="G3" s="4" t="s">
        <v>33</v>
      </c>
      <c r="H3" s="4"/>
      <c r="I3" s="4" t="s">
        <v>27</v>
      </c>
      <c r="J3" s="6" t="n">
        <v>45349</v>
      </c>
      <c r="K3" s="4"/>
    </row>
    <row r="4" customFormat="false" ht="15" hidden="false" customHeight="false" outlineLevel="0" collapsed="false">
      <c r="A4" s="4" t="s">
        <v>273</v>
      </c>
      <c r="B4" s="4" t="s">
        <v>269</v>
      </c>
      <c r="C4" s="4" t="s">
        <v>270</v>
      </c>
      <c r="D4" s="4" t="s">
        <v>271</v>
      </c>
      <c r="E4" s="4"/>
      <c r="F4" s="5" t="n">
        <v>1</v>
      </c>
      <c r="G4" s="4" t="s">
        <v>26</v>
      </c>
      <c r="H4" s="4"/>
      <c r="I4" s="4" t="s">
        <v>27</v>
      </c>
      <c r="J4" s="6" t="n">
        <v>45349</v>
      </c>
      <c r="K4" s="4" t="s">
        <v>274</v>
      </c>
    </row>
    <row r="5" customFormat="false" ht="15" hidden="false" customHeight="false" outlineLevel="0" collapsed="false">
      <c r="A5" s="4" t="s">
        <v>275</v>
      </c>
      <c r="B5" s="4" t="s">
        <v>269</v>
      </c>
      <c r="C5" s="4" t="s">
        <v>23</v>
      </c>
      <c r="D5" s="4" t="s">
        <v>276</v>
      </c>
      <c r="E5" s="4"/>
      <c r="F5" s="5" t="n">
        <v>3</v>
      </c>
      <c r="G5" s="4" t="s">
        <v>38</v>
      </c>
      <c r="H5" s="4"/>
      <c r="I5" s="4" t="s">
        <v>76</v>
      </c>
      <c r="J5" s="6" t="n">
        <v>44776</v>
      </c>
      <c r="K5" s="4"/>
    </row>
    <row r="6" customFormat="false" ht="15" hidden="false" customHeight="false" outlineLevel="0" collapsed="false">
      <c r="A6" s="4" t="s">
        <v>277</v>
      </c>
      <c r="B6" s="4" t="s">
        <v>269</v>
      </c>
      <c r="C6" s="4" t="s">
        <v>23</v>
      </c>
      <c r="D6" s="4" t="s">
        <v>276</v>
      </c>
      <c r="E6" s="4"/>
      <c r="F6" s="5" t="n">
        <v>4</v>
      </c>
      <c r="G6" s="4" t="s">
        <v>33</v>
      </c>
      <c r="H6" s="4"/>
      <c r="I6" s="4" t="s">
        <v>27</v>
      </c>
      <c r="J6" s="6" t="n">
        <v>44776</v>
      </c>
      <c r="K6" s="4"/>
    </row>
    <row r="7" customFormat="false" ht="15" hidden="false" customHeight="false" outlineLevel="0" collapsed="false">
      <c r="A7" s="4" t="s">
        <v>278</v>
      </c>
      <c r="B7" s="4" t="s">
        <v>269</v>
      </c>
      <c r="C7" s="4" t="s">
        <v>23</v>
      </c>
      <c r="D7" s="4" t="s">
        <v>276</v>
      </c>
      <c r="E7" s="4"/>
      <c r="F7" s="5" t="n">
        <v>1</v>
      </c>
      <c r="G7" s="4" t="s">
        <v>26</v>
      </c>
      <c r="H7" s="4"/>
      <c r="I7" s="4" t="s">
        <v>27</v>
      </c>
      <c r="J7" s="6" t="n">
        <v>44776</v>
      </c>
      <c r="K7" s="4" t="s">
        <v>259</v>
      </c>
    </row>
    <row r="8" customFormat="false" ht="15" hidden="false" customHeight="false" outlineLevel="0" collapsed="false">
      <c r="A8" s="4" t="s">
        <v>279</v>
      </c>
      <c r="B8" s="4" t="s">
        <v>280</v>
      </c>
      <c r="C8" s="4" t="s">
        <v>270</v>
      </c>
      <c r="D8" s="4" t="s">
        <v>281</v>
      </c>
      <c r="E8" s="4"/>
      <c r="F8" s="5" t="n">
        <v>8</v>
      </c>
      <c r="G8" s="4" t="s">
        <v>38</v>
      </c>
      <c r="H8" s="4"/>
      <c r="I8" s="4" t="s">
        <v>76</v>
      </c>
      <c r="J8" s="6" t="n">
        <v>46240</v>
      </c>
      <c r="K8" s="4"/>
    </row>
    <row r="9" customFormat="false" ht="15" hidden="false" customHeight="false" outlineLevel="0" collapsed="false">
      <c r="A9" s="4" t="s">
        <v>282</v>
      </c>
      <c r="B9" s="4" t="s">
        <v>280</v>
      </c>
      <c r="C9" s="4" t="s">
        <v>270</v>
      </c>
      <c r="D9" s="4" t="s">
        <v>281</v>
      </c>
      <c r="E9" s="4"/>
      <c r="F9" s="5" t="n">
        <v>6</v>
      </c>
      <c r="G9" s="4" t="s">
        <v>33</v>
      </c>
      <c r="H9" s="4"/>
      <c r="I9" s="4" t="s">
        <v>27</v>
      </c>
      <c r="J9" s="6" t="n">
        <v>46240</v>
      </c>
      <c r="K9" s="4"/>
    </row>
    <row r="10" customFormat="false" ht="15" hidden="false" customHeight="false" outlineLevel="0" collapsed="false">
      <c r="A10" s="4" t="s">
        <v>283</v>
      </c>
      <c r="B10" s="4" t="s">
        <v>280</v>
      </c>
      <c r="C10" s="4" t="s">
        <v>270</v>
      </c>
      <c r="D10" s="4" t="s">
        <v>281</v>
      </c>
      <c r="E10" s="4"/>
      <c r="F10" s="5" t="n">
        <v>2</v>
      </c>
      <c r="G10" s="4" t="s">
        <v>26</v>
      </c>
      <c r="H10" s="4"/>
      <c r="I10" s="4" t="s">
        <v>27</v>
      </c>
      <c r="J10" s="6" t="n">
        <v>46240</v>
      </c>
      <c r="K10" s="4" t="s">
        <v>131</v>
      </c>
    </row>
  </sheetData>
  <autoFilter ref="A1:K10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284</v>
      </c>
      <c r="B2" s="4" t="s">
        <v>285</v>
      </c>
      <c r="C2" s="4" t="s">
        <v>30</v>
      </c>
      <c r="D2" s="4" t="s">
        <v>286</v>
      </c>
      <c r="E2" s="4"/>
      <c r="F2" s="5" t="n">
        <v>7</v>
      </c>
      <c r="G2" s="4" t="s">
        <v>38</v>
      </c>
      <c r="H2" s="4"/>
      <c r="I2" s="4" t="s">
        <v>46</v>
      </c>
      <c r="J2" s="6" t="n">
        <v>45996</v>
      </c>
      <c r="K2" s="4"/>
    </row>
    <row r="3" customFormat="false" ht="15" hidden="false" customHeight="false" outlineLevel="0" collapsed="false">
      <c r="A3" s="4" t="s">
        <v>287</v>
      </c>
      <c r="B3" s="4" t="s">
        <v>285</v>
      </c>
      <c r="C3" s="4" t="s">
        <v>30</v>
      </c>
      <c r="D3" s="4" t="s">
        <v>286</v>
      </c>
      <c r="E3" s="4"/>
      <c r="F3" s="5" t="n">
        <v>4</v>
      </c>
      <c r="G3" s="4" t="s">
        <v>33</v>
      </c>
      <c r="H3" s="4"/>
      <c r="I3" s="4" t="s">
        <v>27</v>
      </c>
      <c r="J3" s="6" t="n">
        <v>45996</v>
      </c>
      <c r="K3" s="4"/>
    </row>
    <row r="4" customFormat="false" ht="15" hidden="false" customHeight="false" outlineLevel="0" collapsed="false">
      <c r="A4" s="4" t="s">
        <v>288</v>
      </c>
      <c r="B4" s="4" t="s">
        <v>285</v>
      </c>
      <c r="C4" s="4" t="s">
        <v>30</v>
      </c>
      <c r="D4" s="4" t="s">
        <v>286</v>
      </c>
      <c r="E4" s="4"/>
      <c r="F4" s="5" t="n">
        <v>2</v>
      </c>
      <c r="G4" s="4" t="s">
        <v>26</v>
      </c>
      <c r="H4" s="4"/>
      <c r="I4" s="4" t="s">
        <v>27</v>
      </c>
      <c r="J4" s="6" t="n">
        <v>45996</v>
      </c>
      <c r="K4" s="4" t="s">
        <v>79</v>
      </c>
    </row>
    <row r="5" customFormat="false" ht="15" hidden="false" customHeight="false" outlineLevel="0" collapsed="false">
      <c r="A5" s="4" t="s">
        <v>289</v>
      </c>
      <c r="B5" s="4" t="s">
        <v>285</v>
      </c>
      <c r="C5" s="4" t="s">
        <v>23</v>
      </c>
      <c r="D5" s="4" t="s">
        <v>290</v>
      </c>
      <c r="E5" s="4"/>
      <c r="F5" s="5" t="n">
        <v>2</v>
      </c>
      <c r="G5" s="4" t="s">
        <v>38</v>
      </c>
      <c r="H5" s="4"/>
      <c r="I5" s="4" t="s">
        <v>46</v>
      </c>
      <c r="J5" s="6" t="n">
        <v>45112</v>
      </c>
      <c r="K5" s="4"/>
    </row>
    <row r="6" customFormat="false" ht="15" hidden="false" customHeight="false" outlineLevel="0" collapsed="false">
      <c r="A6" s="4" t="s">
        <v>291</v>
      </c>
      <c r="B6" s="4" t="s">
        <v>285</v>
      </c>
      <c r="C6" s="4" t="s">
        <v>23</v>
      </c>
      <c r="D6" s="4" t="s">
        <v>290</v>
      </c>
      <c r="E6" s="4"/>
      <c r="F6" s="5" t="n">
        <v>4</v>
      </c>
      <c r="G6" s="4" t="s">
        <v>33</v>
      </c>
      <c r="H6" s="4"/>
      <c r="I6" s="4" t="s">
        <v>27</v>
      </c>
      <c r="J6" s="6" t="n">
        <v>45112</v>
      </c>
      <c r="K6" s="4"/>
    </row>
    <row r="7" customFormat="false" ht="15" hidden="false" customHeight="false" outlineLevel="0" collapsed="false">
      <c r="A7" s="4" t="s">
        <v>292</v>
      </c>
      <c r="B7" s="4" t="s">
        <v>285</v>
      </c>
      <c r="C7" s="4" t="s">
        <v>23</v>
      </c>
      <c r="D7" s="4" t="s">
        <v>290</v>
      </c>
      <c r="E7" s="4"/>
      <c r="F7" s="5" t="n">
        <v>1</v>
      </c>
      <c r="G7" s="4" t="s">
        <v>26</v>
      </c>
      <c r="H7" s="4"/>
      <c r="I7" s="4" t="s">
        <v>27</v>
      </c>
      <c r="J7" s="6" t="n">
        <v>45112</v>
      </c>
      <c r="K7" s="4" t="s">
        <v>238</v>
      </c>
    </row>
    <row r="8" customFormat="false" ht="15" hidden="false" customHeight="false" outlineLevel="0" collapsed="false">
      <c r="A8" s="4" t="s">
        <v>293</v>
      </c>
      <c r="B8" s="4" t="s">
        <v>294</v>
      </c>
      <c r="C8" s="4" t="s">
        <v>42</v>
      </c>
      <c r="D8" s="4" t="s">
        <v>295</v>
      </c>
      <c r="E8" s="4"/>
      <c r="F8" s="5" t="n">
        <v>9</v>
      </c>
      <c r="G8" s="4" t="s">
        <v>38</v>
      </c>
      <c r="H8" s="4"/>
      <c r="I8" s="4" t="s">
        <v>46</v>
      </c>
      <c r="J8" s="6" t="n">
        <v>44811</v>
      </c>
      <c r="K8" s="4"/>
    </row>
    <row r="9" customFormat="false" ht="15" hidden="false" customHeight="false" outlineLevel="0" collapsed="false">
      <c r="A9" s="4" t="s">
        <v>296</v>
      </c>
      <c r="B9" s="4" t="s">
        <v>294</v>
      </c>
      <c r="C9" s="4" t="s">
        <v>42</v>
      </c>
      <c r="D9" s="4" t="s">
        <v>295</v>
      </c>
      <c r="E9" s="4"/>
      <c r="F9" s="5" t="n">
        <v>5</v>
      </c>
      <c r="G9" s="4" t="s">
        <v>33</v>
      </c>
      <c r="H9" s="4"/>
      <c r="I9" s="4" t="s">
        <v>27</v>
      </c>
      <c r="J9" s="6" t="n">
        <v>44811</v>
      </c>
      <c r="K9" s="4"/>
    </row>
    <row r="10" customFormat="false" ht="15" hidden="false" customHeight="false" outlineLevel="0" collapsed="false">
      <c r="A10" s="4" t="s">
        <v>297</v>
      </c>
      <c r="B10" s="4" t="s">
        <v>294</v>
      </c>
      <c r="C10" s="4" t="s">
        <v>42</v>
      </c>
      <c r="D10" s="4" t="s">
        <v>295</v>
      </c>
      <c r="E10" s="4"/>
      <c r="F10" s="5" t="n">
        <v>2</v>
      </c>
      <c r="G10" s="4" t="s">
        <v>155</v>
      </c>
      <c r="H10" s="4"/>
      <c r="I10" s="4" t="s">
        <v>27</v>
      </c>
      <c r="J10" s="6" t="n">
        <v>44811</v>
      </c>
      <c r="K10" s="4" t="s">
        <v>238</v>
      </c>
    </row>
    <row r="11" customFormat="false" ht="15" hidden="false" customHeight="false" outlineLevel="0" collapsed="false">
      <c r="A11" s="4" t="s">
        <v>298</v>
      </c>
      <c r="B11" s="4" t="s">
        <v>294</v>
      </c>
      <c r="C11" s="4" t="s">
        <v>42</v>
      </c>
      <c r="D11" s="4" t="s">
        <v>295</v>
      </c>
      <c r="E11" s="4"/>
      <c r="F11" s="5" t="n">
        <v>1</v>
      </c>
      <c r="G11" s="4" t="s">
        <v>26</v>
      </c>
      <c r="H11" s="4"/>
      <c r="I11" s="4" t="s">
        <v>27</v>
      </c>
      <c r="J11" s="6" t="n">
        <v>44811</v>
      </c>
      <c r="K11" s="4" t="s">
        <v>148</v>
      </c>
    </row>
  </sheetData>
  <autoFilter ref="A1:K11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4" t="s">
        <v>299</v>
      </c>
      <c r="B2" s="4" t="s">
        <v>300</v>
      </c>
      <c r="C2" s="4" t="s">
        <v>23</v>
      </c>
      <c r="D2" s="4" t="s">
        <v>301</v>
      </c>
      <c r="E2" s="4" t="s">
        <v>302</v>
      </c>
      <c r="F2" s="5" t="n">
        <v>1</v>
      </c>
      <c r="G2" s="4" t="s">
        <v>155</v>
      </c>
      <c r="H2" s="4"/>
      <c r="I2" s="4" t="s">
        <v>27</v>
      </c>
      <c r="J2" s="6" t="n">
        <v>44359</v>
      </c>
      <c r="K2" s="4" t="s">
        <v>259</v>
      </c>
    </row>
    <row r="3" customFormat="false" ht="15" hidden="false" customHeight="false" outlineLevel="0" collapsed="false">
      <c r="A3" s="4" t="s">
        <v>303</v>
      </c>
      <c r="B3" s="4" t="s">
        <v>300</v>
      </c>
      <c r="C3" s="4" t="s">
        <v>23</v>
      </c>
      <c r="D3" s="4" t="s">
        <v>301</v>
      </c>
      <c r="E3" s="4" t="s">
        <v>304</v>
      </c>
      <c r="F3" s="5" t="n">
        <v>1</v>
      </c>
      <c r="G3" s="4" t="s">
        <v>38</v>
      </c>
      <c r="H3" s="4" t="s">
        <v>305</v>
      </c>
      <c r="I3" s="4" t="s">
        <v>76</v>
      </c>
      <c r="J3" s="6" t="n">
        <v>45811</v>
      </c>
      <c r="K3" s="4"/>
    </row>
    <row r="4" customFormat="false" ht="15" hidden="false" customHeight="false" outlineLevel="0" collapsed="false">
      <c r="A4" s="4" t="s">
        <v>306</v>
      </c>
      <c r="B4" s="4" t="s">
        <v>300</v>
      </c>
      <c r="C4" s="4" t="s">
        <v>23</v>
      </c>
      <c r="D4" s="4" t="s">
        <v>301</v>
      </c>
      <c r="E4" s="4" t="s">
        <v>307</v>
      </c>
      <c r="F4" s="5" t="n">
        <v>1</v>
      </c>
      <c r="G4" s="4" t="s">
        <v>38</v>
      </c>
      <c r="H4" s="4" t="s">
        <v>39</v>
      </c>
      <c r="I4" s="4" t="s">
        <v>40</v>
      </c>
      <c r="J4" s="6" t="n">
        <v>44966</v>
      </c>
      <c r="K4" s="4"/>
    </row>
    <row r="5" customFormat="false" ht="15" hidden="false" customHeight="false" outlineLevel="0" collapsed="false">
      <c r="A5" s="4" t="s">
        <v>308</v>
      </c>
      <c r="B5" s="4" t="s">
        <v>300</v>
      </c>
      <c r="C5" s="4" t="s">
        <v>23</v>
      </c>
      <c r="D5" s="4" t="s">
        <v>301</v>
      </c>
      <c r="E5" s="4" t="s">
        <v>309</v>
      </c>
      <c r="F5" s="5" t="n">
        <v>1</v>
      </c>
      <c r="G5" s="4" t="s">
        <v>26</v>
      </c>
      <c r="H5" s="4"/>
      <c r="I5" s="4" t="s">
        <v>27</v>
      </c>
      <c r="J5" s="6" t="n">
        <v>44293</v>
      </c>
      <c r="K5" s="4" t="s">
        <v>136</v>
      </c>
    </row>
  </sheetData>
  <autoFilter ref="A1:K5"/>
  <dataValidations count="1">
    <dataValidation allowBlank="true" errorStyle="stop" operator="between" showDropDown="false" showErrorMessage="false" showInputMessage="false" sqref="G2:G1000" type="list">
      <formula1>"In Use,In Stock,Damaged,Broken"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3" t="s">
        <v>310</v>
      </c>
      <c r="B1" s="3" t="s">
        <v>11</v>
      </c>
      <c r="C1" s="3" t="s">
        <v>12</v>
      </c>
      <c r="D1" s="3" t="s">
        <v>13</v>
      </c>
      <c r="E1" s="3" t="s">
        <v>15</v>
      </c>
      <c r="F1" s="3" t="s">
        <v>311</v>
      </c>
      <c r="G1" s="3" t="s">
        <v>312</v>
      </c>
      <c r="H1" s="3" t="s">
        <v>313</v>
      </c>
      <c r="I1" s="3" t="s">
        <v>314</v>
      </c>
      <c r="J1" s="3" t="s">
        <v>315</v>
      </c>
      <c r="K1" s="3" t="s">
        <v>20</v>
      </c>
    </row>
    <row r="2" customFormat="false" ht="15" hidden="false" customHeight="false" outlineLevel="0" collapsed="false">
      <c r="A2" s="6" t="n">
        <v>45836</v>
      </c>
      <c r="B2" s="4" t="s">
        <v>300</v>
      </c>
      <c r="C2" s="4" t="s">
        <v>23</v>
      </c>
      <c r="D2" s="4" t="s">
        <v>301</v>
      </c>
      <c r="E2" s="4" t="n">
        <v>2</v>
      </c>
      <c r="F2" s="7" t="n">
        <v>50800</v>
      </c>
      <c r="G2" s="7" t="n">
        <f aca="false">E2*F2</f>
        <v>101600</v>
      </c>
      <c r="H2" s="4" t="s">
        <v>316</v>
      </c>
      <c r="I2" s="4" t="s">
        <v>317</v>
      </c>
      <c r="J2" s="4" t="s">
        <v>318</v>
      </c>
      <c r="K2" s="4"/>
    </row>
    <row r="3" customFormat="false" ht="15" hidden="false" customHeight="false" outlineLevel="0" collapsed="false">
      <c r="A3" s="6" t="n">
        <v>45837</v>
      </c>
      <c r="B3" s="4" t="s">
        <v>83</v>
      </c>
      <c r="C3" s="4" t="s">
        <v>88</v>
      </c>
      <c r="D3" s="4" t="s">
        <v>89</v>
      </c>
      <c r="E3" s="4" t="n">
        <v>2</v>
      </c>
      <c r="F3" s="7" t="n">
        <v>66400</v>
      </c>
      <c r="G3" s="7" t="n">
        <f aca="false">E3*F3</f>
        <v>132800</v>
      </c>
      <c r="H3" s="4" t="s">
        <v>319</v>
      </c>
      <c r="I3" s="4" t="s">
        <v>320</v>
      </c>
      <c r="J3" s="4" t="s">
        <v>321</v>
      </c>
      <c r="K3" s="4"/>
    </row>
    <row r="4" customFormat="false" ht="15" hidden="false" customHeight="false" outlineLevel="0" collapsed="false">
      <c r="A4" s="6" t="n">
        <v>45880</v>
      </c>
      <c r="B4" s="4" t="s">
        <v>300</v>
      </c>
      <c r="C4" s="4" t="s">
        <v>322</v>
      </c>
      <c r="D4" s="4" t="s">
        <v>323</v>
      </c>
      <c r="E4" s="4" t="n">
        <v>3</v>
      </c>
      <c r="F4" s="7" t="n">
        <v>61150</v>
      </c>
      <c r="G4" s="7" t="n">
        <f aca="false">E4*F4</f>
        <v>183450</v>
      </c>
      <c r="H4" s="4" t="s">
        <v>324</v>
      </c>
      <c r="I4" s="4" t="s">
        <v>325</v>
      </c>
      <c r="J4" s="4" t="s">
        <v>318</v>
      </c>
      <c r="K4" s="4"/>
    </row>
    <row r="5" customFormat="false" ht="15" hidden="false" customHeight="false" outlineLevel="0" collapsed="false">
      <c r="A5" s="6" t="n">
        <v>45926</v>
      </c>
      <c r="B5" s="4" t="s">
        <v>261</v>
      </c>
      <c r="C5" s="4" t="s">
        <v>234</v>
      </c>
      <c r="D5" s="4" t="s">
        <v>265</v>
      </c>
      <c r="E5" s="4" t="n">
        <v>14</v>
      </c>
      <c r="F5" s="7" t="n">
        <v>950</v>
      </c>
      <c r="G5" s="7" t="n">
        <f aca="false">E5*F5</f>
        <v>13300</v>
      </c>
      <c r="H5" s="4" t="s">
        <v>326</v>
      </c>
      <c r="I5" s="4" t="s">
        <v>327</v>
      </c>
      <c r="J5" s="4" t="s">
        <v>328</v>
      </c>
      <c r="K5" s="4"/>
    </row>
    <row r="6" customFormat="false" ht="15" hidden="false" customHeight="false" outlineLevel="0" collapsed="false">
      <c r="A6" s="6" t="n">
        <v>45934</v>
      </c>
      <c r="B6" s="4" t="s">
        <v>300</v>
      </c>
      <c r="C6" s="4" t="s">
        <v>23</v>
      </c>
      <c r="D6" s="4" t="s">
        <v>301</v>
      </c>
      <c r="E6" s="4" t="n">
        <v>3</v>
      </c>
      <c r="F6" s="7" t="n">
        <v>59100</v>
      </c>
      <c r="G6" s="7" t="n">
        <f aca="false">E6*F6</f>
        <v>177300</v>
      </c>
      <c r="H6" s="4" t="s">
        <v>329</v>
      </c>
      <c r="I6" s="4" t="s">
        <v>330</v>
      </c>
      <c r="J6" s="4" t="s">
        <v>318</v>
      </c>
      <c r="K6" s="4"/>
    </row>
    <row r="7" customFormat="false" ht="15" hidden="false" customHeight="false" outlineLevel="0" collapsed="false">
      <c r="A7" s="6" t="n">
        <v>45934</v>
      </c>
      <c r="B7" s="4" t="s">
        <v>203</v>
      </c>
      <c r="C7" s="4" t="s">
        <v>204</v>
      </c>
      <c r="D7" s="4" t="s">
        <v>205</v>
      </c>
      <c r="E7" s="4" t="n">
        <v>20</v>
      </c>
      <c r="F7" s="7" t="n">
        <v>1700</v>
      </c>
      <c r="G7" s="7" t="n">
        <f aca="false">E7*F7</f>
        <v>34000</v>
      </c>
      <c r="H7" s="4" t="s">
        <v>319</v>
      </c>
      <c r="I7" s="4" t="s">
        <v>331</v>
      </c>
      <c r="J7" s="4" t="s">
        <v>332</v>
      </c>
      <c r="K7" s="4"/>
    </row>
    <row r="8" customFormat="false" ht="15" hidden="false" customHeight="false" outlineLevel="0" collapsed="false">
      <c r="A8" s="6" t="n">
        <v>45936</v>
      </c>
      <c r="B8" s="4" t="s">
        <v>250</v>
      </c>
      <c r="C8" s="4" t="s">
        <v>196</v>
      </c>
      <c r="D8" s="4" t="s">
        <v>256</v>
      </c>
      <c r="E8" s="4" t="n">
        <v>10</v>
      </c>
      <c r="F8" s="7" t="n">
        <v>4150</v>
      </c>
      <c r="G8" s="7" t="n">
        <f aca="false">E8*F8</f>
        <v>41500</v>
      </c>
      <c r="H8" s="4" t="s">
        <v>324</v>
      </c>
      <c r="I8" s="4" t="s">
        <v>333</v>
      </c>
      <c r="J8" s="4" t="s">
        <v>334</v>
      </c>
      <c r="K8" s="4"/>
    </row>
    <row r="9" customFormat="false" ht="15" hidden="false" customHeight="false" outlineLevel="0" collapsed="false">
      <c r="A9" s="6" t="n">
        <v>45980</v>
      </c>
      <c r="B9" s="4" t="s">
        <v>158</v>
      </c>
      <c r="C9" s="4" t="s">
        <v>104</v>
      </c>
      <c r="D9" s="4" t="s">
        <v>159</v>
      </c>
      <c r="E9" s="4" t="n">
        <v>1</v>
      </c>
      <c r="F9" s="7" t="n">
        <v>150150</v>
      </c>
      <c r="G9" s="7" t="n">
        <f aca="false">E9*F9</f>
        <v>150150</v>
      </c>
      <c r="H9" s="4" t="s">
        <v>329</v>
      </c>
      <c r="I9" s="4" t="s">
        <v>335</v>
      </c>
      <c r="J9" s="4" t="s">
        <v>158</v>
      </c>
      <c r="K9" s="4"/>
    </row>
    <row r="10" customFormat="false" ht="15" hidden="false" customHeight="false" outlineLevel="0" collapsed="false">
      <c r="A10" s="6" t="n">
        <v>46008</v>
      </c>
      <c r="B10" s="4" t="s">
        <v>280</v>
      </c>
      <c r="C10" s="4" t="s">
        <v>270</v>
      </c>
      <c r="D10" s="4" t="s">
        <v>281</v>
      </c>
      <c r="E10" s="4" t="n">
        <v>4</v>
      </c>
      <c r="F10" s="7" t="n">
        <v>6100</v>
      </c>
      <c r="G10" s="7" t="n">
        <f aca="false">E10*F10</f>
        <v>24400</v>
      </c>
      <c r="H10" s="4" t="s">
        <v>326</v>
      </c>
      <c r="I10" s="4" t="s">
        <v>336</v>
      </c>
      <c r="J10" s="4" t="s">
        <v>337</v>
      </c>
      <c r="K10" s="4"/>
    </row>
    <row r="11" customFormat="false" ht="15" hidden="false" customHeight="false" outlineLevel="0" collapsed="false">
      <c r="A11" s="6" t="n">
        <v>46013</v>
      </c>
      <c r="B11" s="4" t="s">
        <v>83</v>
      </c>
      <c r="C11" s="4" t="s">
        <v>88</v>
      </c>
      <c r="D11" s="4" t="s">
        <v>89</v>
      </c>
      <c r="E11" s="4" t="n">
        <v>1</v>
      </c>
      <c r="F11" s="7" t="n">
        <v>63850</v>
      </c>
      <c r="G11" s="7" t="n">
        <f aca="false">E11*F11</f>
        <v>63850</v>
      </c>
      <c r="H11" s="4" t="s">
        <v>324</v>
      </c>
      <c r="I11" s="4" t="s">
        <v>338</v>
      </c>
      <c r="J11" s="4" t="s">
        <v>321</v>
      </c>
      <c r="K11" s="4"/>
    </row>
    <row r="12" customFormat="false" ht="15" hidden="false" customHeight="false" outlineLevel="0" collapsed="false">
      <c r="A12" s="6" t="n">
        <v>46037</v>
      </c>
      <c r="B12" s="4" t="s">
        <v>250</v>
      </c>
      <c r="C12" s="4" t="s">
        <v>251</v>
      </c>
      <c r="D12" s="4" t="s">
        <v>252</v>
      </c>
      <c r="E12" s="4" t="n">
        <v>4</v>
      </c>
      <c r="F12" s="7" t="n">
        <v>4700</v>
      </c>
      <c r="G12" s="7" t="n">
        <f aca="false">E12*F12</f>
        <v>18800</v>
      </c>
      <c r="H12" s="4" t="s">
        <v>319</v>
      </c>
      <c r="I12" s="4" t="s">
        <v>339</v>
      </c>
      <c r="J12" s="4" t="s">
        <v>334</v>
      </c>
      <c r="K12" s="4"/>
    </row>
    <row r="13" customFormat="false" ht="15" hidden="false" customHeight="false" outlineLevel="0" collapsed="false">
      <c r="A13" s="6" t="n">
        <v>46062</v>
      </c>
      <c r="B13" s="4" t="s">
        <v>294</v>
      </c>
      <c r="C13" s="4" t="s">
        <v>42</v>
      </c>
      <c r="D13" s="4" t="s">
        <v>295</v>
      </c>
      <c r="E13" s="4" t="n">
        <v>8</v>
      </c>
      <c r="F13" s="7" t="n">
        <v>7200</v>
      </c>
      <c r="G13" s="7" t="n">
        <f aca="false">E13*F13</f>
        <v>57600</v>
      </c>
      <c r="H13" s="4" t="s">
        <v>324</v>
      </c>
      <c r="I13" s="4" t="s">
        <v>340</v>
      </c>
      <c r="J13" s="4" t="s">
        <v>341</v>
      </c>
      <c r="K13" s="4"/>
    </row>
    <row r="14" customFormat="false" ht="15" hidden="false" customHeight="false" outlineLevel="0" collapsed="false">
      <c r="A14" s="6" t="n">
        <v>46131</v>
      </c>
      <c r="B14" s="4" t="s">
        <v>222</v>
      </c>
      <c r="C14" s="4" t="s">
        <v>210</v>
      </c>
      <c r="D14" s="4" t="s">
        <v>223</v>
      </c>
      <c r="E14" s="4" t="n">
        <v>11</v>
      </c>
      <c r="F14" s="7" t="n">
        <v>2900</v>
      </c>
      <c r="G14" s="7" t="n">
        <f aca="false">E14*F14</f>
        <v>31900</v>
      </c>
      <c r="H14" s="4" t="s">
        <v>316</v>
      </c>
      <c r="I14" s="4" t="s">
        <v>342</v>
      </c>
      <c r="J14" s="4" t="s">
        <v>343</v>
      </c>
      <c r="K14" s="4"/>
    </row>
    <row r="15" customFormat="false" ht="15" hidden="false" customHeight="false" outlineLevel="0" collapsed="false">
      <c r="A15" s="6" t="n">
        <v>46138</v>
      </c>
      <c r="B15" s="4" t="s">
        <v>119</v>
      </c>
      <c r="C15" s="4" t="s">
        <v>120</v>
      </c>
      <c r="D15" s="4" t="s">
        <v>121</v>
      </c>
      <c r="E15" s="4" t="n">
        <v>3</v>
      </c>
      <c r="F15" s="7" t="n">
        <v>257200</v>
      </c>
      <c r="G15" s="7" t="n">
        <f aca="false">E15*F15</f>
        <v>771600</v>
      </c>
      <c r="H15" s="4" t="s">
        <v>316</v>
      </c>
      <c r="I15" s="4" t="s">
        <v>344</v>
      </c>
      <c r="J15" s="4" t="s">
        <v>345</v>
      </c>
      <c r="K15" s="4"/>
    </row>
    <row r="16" customFormat="false" ht="15" hidden="false" customHeight="false" outlineLevel="0" collapsed="false">
      <c r="A16" s="6" t="n">
        <v>46163</v>
      </c>
      <c r="B16" s="4" t="s">
        <v>261</v>
      </c>
      <c r="C16" s="4" t="s">
        <v>234</v>
      </c>
      <c r="D16" s="4" t="s">
        <v>265</v>
      </c>
      <c r="E16" s="4" t="n">
        <v>12</v>
      </c>
      <c r="F16" s="7" t="n">
        <v>1000</v>
      </c>
      <c r="G16" s="7" t="n">
        <f aca="false">E16*F16</f>
        <v>12000</v>
      </c>
      <c r="H16" s="4" t="s">
        <v>326</v>
      </c>
      <c r="I16" s="4" t="s">
        <v>346</v>
      </c>
      <c r="J16" s="4" t="s">
        <v>328</v>
      </c>
      <c r="K16" s="4"/>
    </row>
    <row r="17" customFormat="false" ht="15" hidden="false" customHeight="false" outlineLevel="0" collapsed="false">
      <c r="A17" s="6" t="n">
        <v>46217</v>
      </c>
      <c r="B17" s="4" t="s">
        <v>269</v>
      </c>
      <c r="C17" s="4" t="s">
        <v>270</v>
      </c>
      <c r="D17" s="4" t="s">
        <v>271</v>
      </c>
      <c r="E17" s="4" t="n">
        <v>12</v>
      </c>
      <c r="F17" s="7" t="n">
        <v>6000</v>
      </c>
      <c r="G17" s="7" t="n">
        <f aca="false">E17*F17</f>
        <v>72000</v>
      </c>
      <c r="H17" s="4" t="s">
        <v>347</v>
      </c>
      <c r="I17" s="4" t="s">
        <v>348</v>
      </c>
      <c r="J17" s="4" t="s">
        <v>337</v>
      </c>
      <c r="K17" s="4"/>
    </row>
  </sheetData>
  <autoFilter ref="A1:K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8" t="s">
        <v>349</v>
      </c>
    </row>
    <row r="2" customFormat="false" ht="15" hidden="false" customHeight="false" outlineLevel="0" collapsed="false">
      <c r="A2" s="9" t="s">
        <v>350</v>
      </c>
    </row>
    <row r="4" customFormat="false" ht="15" hidden="false" customHeight="false" outlineLevel="0" collapsed="false">
      <c r="A4" s="10" t="s">
        <v>315</v>
      </c>
      <c r="B4" s="10" t="s">
        <v>38</v>
      </c>
      <c r="C4" s="10" t="s">
        <v>33</v>
      </c>
      <c r="D4" s="10" t="s">
        <v>155</v>
      </c>
      <c r="E4" s="10" t="s">
        <v>26</v>
      </c>
      <c r="F4" s="10" t="s">
        <v>351</v>
      </c>
    </row>
    <row r="5" customFormat="false" ht="15" hidden="false" customHeight="false" outlineLevel="0" collapsed="false">
      <c r="A5" s="4" t="s">
        <v>352</v>
      </c>
      <c r="B5" s="4" t="n">
        <f aca="false">SUMPRODUCT((Screens!$G$2:$G$1000=B$4)*((Screens!$F$2:$F$1000="")+(Screens!$F$2:$F$1000)))</f>
        <v>11</v>
      </c>
      <c r="C5" s="4" t="n">
        <f aca="false">SUMPRODUCT((Screens!$G$2:$G$1000=C$4)*((Screens!$F$2:$F$1000="")+(Screens!$F$2:$F$1000)))</f>
        <v>3</v>
      </c>
      <c r="D5" s="4" t="n">
        <f aca="false">SUMPRODUCT((Screens!$G$2:$G$1000=D$4)*((Screens!$F$2:$F$1000="")+(Screens!$F$2:$F$1000)))</f>
        <v>0</v>
      </c>
      <c r="E5" s="4" t="n">
        <f aca="false">SUMPRODUCT((Screens!$G$2:$G$1000=E$4)*((Screens!$F$2:$F$1000="")+(Screens!$F$2:$F$1000)))</f>
        <v>2</v>
      </c>
      <c r="F5" s="4" t="n">
        <f aca="false">SUM(B5:E5)</f>
        <v>16</v>
      </c>
    </row>
    <row r="6" customFormat="false" ht="15" hidden="false" customHeight="false" outlineLevel="0" collapsed="false">
      <c r="A6" s="4" t="s">
        <v>321</v>
      </c>
      <c r="B6" s="4" t="n">
        <f aca="false">SUMPRODUCT((Mobiles!$G$2:$G$1000=B$4)*((Mobiles!$F$2:$F$1000="")+(Mobiles!$F$2:$F$1000)))</f>
        <v>10</v>
      </c>
      <c r="C6" s="4" t="n">
        <f aca="false">SUMPRODUCT((Mobiles!$G$2:$G$1000=C$4)*((Mobiles!$F$2:$F$1000="")+(Mobiles!$F$2:$F$1000)))</f>
        <v>1</v>
      </c>
      <c r="D6" s="4" t="n">
        <f aca="false">SUMPRODUCT((Mobiles!$G$2:$G$1000=D$4)*((Mobiles!$F$2:$F$1000="")+(Mobiles!$F$2:$F$1000)))</f>
        <v>0</v>
      </c>
      <c r="E6" s="4" t="n">
        <f aca="false">SUMPRODUCT((Mobiles!$G$2:$G$1000=E$4)*((Mobiles!$F$2:$F$1000="")+(Mobiles!$F$2:$F$1000)))</f>
        <v>1</v>
      </c>
      <c r="F6" s="4" t="n">
        <f aca="false">SUM(B6:E6)</f>
        <v>12</v>
      </c>
    </row>
    <row r="7" customFormat="false" ht="15" hidden="false" customHeight="false" outlineLevel="0" collapsed="false">
      <c r="A7" s="4" t="s">
        <v>345</v>
      </c>
      <c r="B7" s="4" t="n">
        <f aca="false">SUMPRODUCT((Laptops!$G$2:$G$1000=B$4)*((Laptops!$F$2:$F$1000="")+(Laptops!$F$2:$F$1000)))</f>
        <v>8</v>
      </c>
      <c r="C7" s="4" t="n">
        <f aca="false">SUMPRODUCT((Laptops!$G$2:$G$1000=C$4)*((Laptops!$F$2:$F$1000="")+(Laptops!$F$2:$F$1000)))</f>
        <v>2</v>
      </c>
      <c r="D7" s="4" t="n">
        <f aca="false">SUMPRODUCT((Laptops!$G$2:$G$1000=D$4)*((Laptops!$F$2:$F$1000="")+(Laptops!$F$2:$F$1000)))</f>
        <v>1</v>
      </c>
      <c r="E7" s="4" t="n">
        <f aca="false">SUMPRODUCT((Laptops!$G$2:$G$1000=E$4)*((Laptops!$F$2:$F$1000="")+(Laptops!$F$2:$F$1000)))</f>
        <v>3</v>
      </c>
      <c r="F7" s="4" t="n">
        <f aca="false">SUM(B7:E7)</f>
        <v>14</v>
      </c>
    </row>
    <row r="8" customFormat="false" ht="15" hidden="false" customHeight="false" outlineLevel="0" collapsed="false">
      <c r="A8" s="4" t="s">
        <v>158</v>
      </c>
      <c r="B8" s="4" t="n">
        <f aca="false">SUMPRODUCT(('Mac Mini'!$G$2:$G$1000=B$4)*(('Mac Mini'!$F$2:$F$1000="")+('Mac Mini'!$F$2:$F$1000)))</f>
        <v>4</v>
      </c>
      <c r="C8" s="4" t="n">
        <f aca="false">SUMPRODUCT(('Mac Mini'!$G$2:$G$1000=C$4)*(('Mac Mini'!$F$2:$F$1000="")+('Mac Mini'!$F$2:$F$1000)))</f>
        <v>1</v>
      </c>
      <c r="D8" s="4" t="n">
        <f aca="false">SUMPRODUCT(('Mac Mini'!$G$2:$G$1000=D$4)*(('Mac Mini'!$F$2:$F$1000="")+('Mac Mini'!$F$2:$F$1000)))</f>
        <v>0</v>
      </c>
      <c r="E8" s="4" t="n">
        <f aca="false">SUMPRODUCT(('Mac Mini'!$G$2:$G$1000=E$4)*(('Mac Mini'!$F$2:$F$1000="")+('Mac Mini'!$F$2:$F$1000)))</f>
        <v>1</v>
      </c>
      <c r="F8" s="4" t="n">
        <f aca="false">SUM(B8:E8)</f>
        <v>6</v>
      </c>
    </row>
    <row r="9" customFormat="false" ht="15" hidden="false" customHeight="false" outlineLevel="0" collapsed="false">
      <c r="A9" s="4" t="s">
        <v>353</v>
      </c>
      <c r="B9" s="4" t="n">
        <f aca="false">SUMPRODUCT((CPU!$G$2:$G$1000=B$4)*((CPU!$F$2:$F$1000="")+(CPU!$F$2:$F$1000)))</f>
        <v>6</v>
      </c>
      <c r="C9" s="4" t="n">
        <f aca="false">SUMPRODUCT((CPU!$G$2:$G$1000=C$4)*((CPU!$F$2:$F$1000="")+(CPU!$F$2:$F$1000)))</f>
        <v>2</v>
      </c>
      <c r="D9" s="4" t="n">
        <f aca="false">SUMPRODUCT((CPU!$G$2:$G$1000=D$4)*((CPU!$F$2:$F$1000="")+(CPU!$F$2:$F$1000)))</f>
        <v>0</v>
      </c>
      <c r="E9" s="4" t="n">
        <f aca="false">SUMPRODUCT((CPU!$G$2:$G$1000=E$4)*((CPU!$F$2:$F$1000="")+(CPU!$F$2:$F$1000)))</f>
        <v>1</v>
      </c>
      <c r="F9" s="4" t="n">
        <f aca="false">SUM(B9:E9)</f>
        <v>9</v>
      </c>
    </row>
    <row r="10" customFormat="false" ht="15" hidden="false" customHeight="false" outlineLevel="0" collapsed="false">
      <c r="A10" s="4" t="s">
        <v>332</v>
      </c>
      <c r="B10" s="4" t="n">
        <f aca="false">SUMPRODUCT((Cables!$G$2:$G$1000=B$4)*((Cables!$F$2:$F$1000="")+(Cables!$F$2:$F$1000)))</f>
        <v>95</v>
      </c>
      <c r="C10" s="4" t="n">
        <f aca="false">SUMPRODUCT((Cables!$G$2:$G$1000=C$4)*((Cables!$F$2:$F$1000="")+(Cables!$F$2:$F$1000)))</f>
        <v>34</v>
      </c>
      <c r="D10" s="4" t="n">
        <f aca="false">SUMPRODUCT((Cables!$G$2:$G$1000=D$4)*((Cables!$F$2:$F$1000="")+(Cables!$F$2:$F$1000)))</f>
        <v>8</v>
      </c>
      <c r="E10" s="4" t="n">
        <f aca="false">SUMPRODUCT((Cables!$G$2:$G$1000=E$4)*((Cables!$F$2:$F$1000="")+(Cables!$F$2:$F$1000)))</f>
        <v>5</v>
      </c>
      <c r="F10" s="4" t="n">
        <f aca="false">SUM(B10:E10)</f>
        <v>142</v>
      </c>
    </row>
    <row r="11" customFormat="false" ht="15" hidden="false" customHeight="false" outlineLevel="0" collapsed="false">
      <c r="A11" s="4" t="s">
        <v>343</v>
      </c>
      <c r="B11" s="4" t="n">
        <f aca="false">SUMPRODUCT((Connectors!$G$2:$G$1000=B$4)*((Connectors!$F$2:$F$1000="")+(Connectors!$F$2:$F$1000)))</f>
        <v>66</v>
      </c>
      <c r="C11" s="4" t="n">
        <f aca="false">SUMPRODUCT((Connectors!$G$2:$G$1000=C$4)*((Connectors!$F$2:$F$1000="")+(Connectors!$F$2:$F$1000)))</f>
        <v>47</v>
      </c>
      <c r="D11" s="4" t="n">
        <f aca="false">SUMPRODUCT((Connectors!$G$2:$G$1000=D$4)*((Connectors!$F$2:$F$1000="")+(Connectors!$F$2:$F$1000)))</f>
        <v>14</v>
      </c>
      <c r="E11" s="4" t="n">
        <f aca="false">SUMPRODUCT((Connectors!$G$2:$G$1000=E$4)*((Connectors!$F$2:$F$1000="")+(Connectors!$F$2:$F$1000)))</f>
        <v>5</v>
      </c>
      <c r="F11" s="4" t="n">
        <f aca="false">SUM(B11:E11)</f>
        <v>132</v>
      </c>
    </row>
    <row r="12" customFormat="false" ht="15" hidden="false" customHeight="false" outlineLevel="0" collapsed="false">
      <c r="A12" s="4" t="s">
        <v>334</v>
      </c>
      <c r="B12" s="4" t="n">
        <f aca="false">SUMPRODUCT(('Laptop Stands'!$G$2:$G$1000=B$4)*(('Laptop Stands'!$F$2:$F$1000="")+('Laptop Stands'!$F$2:$F$1000)))</f>
        <v>14</v>
      </c>
      <c r="C12" s="4" t="n">
        <f aca="false">SUMPRODUCT(('Laptop Stands'!$G$2:$G$1000=C$4)*(('Laptop Stands'!$F$2:$F$1000="")+('Laptop Stands'!$F$2:$F$1000)))</f>
        <v>4</v>
      </c>
      <c r="D12" s="4" t="n">
        <f aca="false">SUMPRODUCT(('Laptop Stands'!$G$2:$G$1000=D$4)*(('Laptop Stands'!$F$2:$F$1000="")+('Laptop Stands'!$F$2:$F$1000)))</f>
        <v>1</v>
      </c>
      <c r="E12" s="4" t="n">
        <f aca="false">SUMPRODUCT(('Laptop Stands'!$G$2:$G$1000=E$4)*(('Laptop Stands'!$F$2:$F$1000="")+('Laptop Stands'!$F$2:$F$1000)))</f>
        <v>1</v>
      </c>
      <c r="F12" s="4" t="n">
        <f aca="false">SUM(B12:E12)</f>
        <v>20</v>
      </c>
    </row>
    <row r="13" customFormat="false" ht="15" hidden="false" customHeight="false" outlineLevel="0" collapsed="false">
      <c r="A13" s="4" t="s">
        <v>328</v>
      </c>
      <c r="B13" s="4" t="n">
        <f aca="false">SUMPRODUCT(('Mobile Stands'!$G$2:$G$1000=B$4)*(('Mobile Stands'!$F$2:$F$1000="")+('Mobile Stands'!$F$2:$F$1000)))</f>
        <v>13</v>
      </c>
      <c r="C13" s="4" t="n">
        <f aca="false">SUMPRODUCT(('Mobile Stands'!$G$2:$G$1000=C$4)*(('Mobile Stands'!$F$2:$F$1000="")+('Mobile Stands'!$F$2:$F$1000)))</f>
        <v>8</v>
      </c>
      <c r="D13" s="4" t="n">
        <f aca="false">SUMPRODUCT(('Mobile Stands'!$G$2:$G$1000=D$4)*(('Mobile Stands'!$F$2:$F$1000="")+('Mobile Stands'!$F$2:$F$1000)))</f>
        <v>0</v>
      </c>
      <c r="E13" s="4" t="n">
        <f aca="false">SUMPRODUCT(('Mobile Stands'!$G$2:$G$1000=E$4)*(('Mobile Stands'!$F$2:$F$1000="")+('Mobile Stands'!$F$2:$F$1000)))</f>
        <v>3</v>
      </c>
      <c r="F13" s="4" t="n">
        <f aca="false">SUM(B13:E13)</f>
        <v>24</v>
      </c>
    </row>
    <row r="14" customFormat="false" ht="15" hidden="false" customHeight="false" outlineLevel="0" collapsed="false">
      <c r="A14" s="4" t="s">
        <v>337</v>
      </c>
      <c r="B14" s="4" t="n">
        <f aca="false">SUMPRODUCT(('Keyboard &amp; Mouse'!$G$2:$G$1000=B$4)*(('Keyboard &amp; Mouse'!$F$2:$F$1000="")+('Keyboard &amp; Mouse'!$F$2:$F$1000)))</f>
        <v>18</v>
      </c>
      <c r="C14" s="4" t="n">
        <f aca="false">SUMPRODUCT(('Keyboard &amp; Mouse'!$G$2:$G$1000=C$4)*(('Keyboard &amp; Mouse'!$F$2:$F$1000="")+('Keyboard &amp; Mouse'!$F$2:$F$1000)))</f>
        <v>18</v>
      </c>
      <c r="D14" s="4" t="n">
        <f aca="false">SUMPRODUCT(('Keyboard &amp; Mouse'!$G$2:$G$1000=D$4)*(('Keyboard &amp; Mouse'!$F$2:$F$1000="")+('Keyboard &amp; Mouse'!$F$2:$F$1000)))</f>
        <v>0</v>
      </c>
      <c r="E14" s="4" t="n">
        <f aca="false">SUMPRODUCT(('Keyboard &amp; Mouse'!$G$2:$G$1000=E$4)*(('Keyboard &amp; Mouse'!$F$2:$F$1000="")+('Keyboard &amp; Mouse'!$F$2:$F$1000)))</f>
        <v>4</v>
      </c>
      <c r="F14" s="4" t="n">
        <f aca="false">SUM(B14:E14)</f>
        <v>40</v>
      </c>
    </row>
    <row r="15" customFormat="false" ht="15" hidden="false" customHeight="false" outlineLevel="0" collapsed="false">
      <c r="A15" s="4" t="s">
        <v>341</v>
      </c>
      <c r="B15" s="4" t="n">
        <f aca="false">SUMPRODUCT((Chargers!$G$2:$G$1000=B$4)*((Chargers!$F$2:$F$1000="")+(Chargers!$F$2:$F$1000)))</f>
        <v>18</v>
      </c>
      <c r="C15" s="4" t="n">
        <f aca="false">SUMPRODUCT((Chargers!$G$2:$G$1000=C$4)*((Chargers!$F$2:$F$1000="")+(Chargers!$F$2:$F$1000)))</f>
        <v>13</v>
      </c>
      <c r="D15" s="4" t="n">
        <f aca="false">SUMPRODUCT((Chargers!$G$2:$G$1000=D$4)*((Chargers!$F$2:$F$1000="")+(Chargers!$F$2:$F$1000)))</f>
        <v>2</v>
      </c>
      <c r="E15" s="4" t="n">
        <f aca="false">SUMPRODUCT((Chargers!$G$2:$G$1000=E$4)*((Chargers!$F$2:$F$1000="")+(Chargers!$F$2:$F$1000)))</f>
        <v>4</v>
      </c>
      <c r="F15" s="4" t="n">
        <f aca="false">SUM(B15:E15)</f>
        <v>37</v>
      </c>
    </row>
    <row r="16" customFormat="false" ht="15" hidden="false" customHeight="false" outlineLevel="0" collapsed="false">
      <c r="A16" s="4" t="s">
        <v>318</v>
      </c>
      <c r="B16" s="4" t="n">
        <f aca="false">SUMPRODUCT((Printers!$G$2:$G$1000=B$4)*((Printers!$F$2:$F$1000="")+(Printers!$F$2:$F$1000)))</f>
        <v>2</v>
      </c>
      <c r="C16" s="4" t="n">
        <f aca="false">SUMPRODUCT((Printers!$G$2:$G$1000=C$4)*((Printers!$F$2:$F$1000="")+(Printers!$F$2:$F$1000)))</f>
        <v>0</v>
      </c>
      <c r="D16" s="4" t="n">
        <f aca="false">SUMPRODUCT((Printers!$G$2:$G$1000=D$4)*((Printers!$F$2:$F$1000="")+(Printers!$F$2:$F$1000)))</f>
        <v>1</v>
      </c>
      <c r="E16" s="4" t="n">
        <f aca="false">SUMPRODUCT((Printers!$G$2:$G$1000=E$4)*((Printers!$F$2:$F$1000="")+(Printers!$F$2:$F$1000)))</f>
        <v>1</v>
      </c>
      <c r="F16" s="4" t="n">
        <f aca="false">SUM(B16:E16)</f>
        <v>4</v>
      </c>
    </row>
    <row r="17" customFormat="false" ht="15" hidden="false" customHeight="false" outlineLevel="0" collapsed="false">
      <c r="A17" s="11" t="s">
        <v>354</v>
      </c>
      <c r="B17" s="11" t="n">
        <f aca="false">SUM(B5:B16)</f>
        <v>265</v>
      </c>
      <c r="C17" s="11" t="n">
        <f aca="false">SUM(C5:C16)</f>
        <v>133</v>
      </c>
      <c r="D17" s="11" t="n">
        <f aca="false">SUM(D5:D16)</f>
        <v>27</v>
      </c>
      <c r="E17" s="11" t="n">
        <f aca="false">SUM(E5:E16)</f>
        <v>31</v>
      </c>
      <c r="F17" s="11" t="n">
        <f aca="false">SUM(F5:F16)</f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2026-10-09T16:01:34Z</dcterms:created>
  <dc:creator>openpyxl</dc:creator>
  <dc:description/>
  <dc:language>en-US</dc:language>
  <cp:lastModifiedBy/>
  <dcterms:modified xsi:type="dcterms:W3CDTF">2026-10-09T16:01:34Z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